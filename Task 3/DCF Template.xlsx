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38400" windowHeight="21600" tabRatio="600" firstSheet="0" activeTab="0" autoFilterDateGrouping="1"/>
  </bookViews>
  <sheets>
    <sheet xmlns:r="http://schemas.openxmlformats.org/officeDocument/2006/relationships" name="Model" sheetId="1" state="visible" r:id="rId1"/>
  </sheets>
  <definedNames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40884.672337963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0">'Model'!$A$1:$N$77</definedName>
  </definedNames>
  <calcPr calcId="191029" calcMode="auto" fullCalcOnLoad="1" iterate="1" forceFullCalc="1"/>
</workbook>
</file>

<file path=xl/styles.xml><?xml version="1.0" encoding="utf-8"?>
<styleSheet xmlns="http://schemas.openxmlformats.org/spreadsheetml/2006/main">
  <numFmts count="12">
    <numFmt numFmtId="164" formatCode="&quot;$&quot;#,##0.0_);\(&quot;$&quot;#,##0.0\)"/>
    <numFmt numFmtId="165" formatCode="_(* #,##0.0_);_(* \(#,##0.0\);_(* &quot;-&quot;?_);_(@_)"/>
    <numFmt numFmtId="166" formatCode="0.0%_);\(0.0%\);0.0%_);@_)"/>
    <numFmt numFmtId="167" formatCode="#,##0.0\x"/>
    <numFmt numFmtId="168" formatCode="_(&quot;$&quot;* #,##0.0_);_(&quot;$&quot;* \(#,##0.0\);_(&quot;$&quot;* &quot;-&quot;?_);_(@_)"/>
    <numFmt numFmtId="169" formatCode="&quot;$&quot;#,##0.00_);\(&quot;$&quot;#,##0.00\)"/>
    <numFmt numFmtId="170" formatCode="General&quot;E&quot;"/>
    <numFmt numFmtId="171" formatCode="#,##0.0_);\(#,##0.0\)"/>
    <numFmt numFmtId="172" formatCode="0.0%"/>
    <numFmt numFmtId="173" formatCode="_(&quot;$&quot;* #,##0_);_(&quot;$&quot;* \(#,##0\);_(&quot;$&quot;* &quot;-&quot;??_);_(@_)"/>
    <numFmt numFmtId="174" formatCode="&quot;$&quot;#,##0.0"/>
    <numFmt numFmtId="175" formatCode="#,##0.0%_);\(#,##0.0%\)"/>
  </numFmts>
  <fonts count="14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10"/>
    </font>
    <font>
      <name val="Arial"/>
      <family val="2"/>
      <color indexed="12"/>
      <sz val="10"/>
    </font>
    <font>
      <name val="Arial"/>
      <family val="2"/>
      <color indexed="8"/>
      <sz val="10"/>
    </font>
    <font>
      <name val="Arial"/>
      <family val="2"/>
      <b val="1"/>
      <sz val="10"/>
      <u val="singleAccounting"/>
    </font>
    <font>
      <name val="Arial"/>
      <family val="2"/>
      <sz val="10"/>
      <u val="singleAccounting"/>
    </font>
    <font>
      <name val="Arial"/>
      <family val="2"/>
      <color indexed="9"/>
      <sz val="10"/>
    </font>
    <font>
      <name val="Arial"/>
      <family val="2"/>
      <color rgb="FF0000CC"/>
      <sz val="10"/>
    </font>
    <font>
      <name val="Arial"/>
      <family val="2"/>
      <b val="1"/>
      <color theme="0"/>
      <sz val="10"/>
    </font>
    <font>
      <name val="Arial"/>
      <family val="2"/>
      <color theme="0"/>
      <sz val="10"/>
    </font>
    <font>
      <name val="Arial"/>
      <sz val="10"/>
    </font>
    <font>
      <name val="Arial"/>
      <family val="2"/>
      <sz val="11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12" fillId="0" borderId="0"/>
    <xf numFmtId="0" fontId="1" fillId="0" borderId="0"/>
    <xf numFmtId="9" fontId="12" fillId="0" borderId="0"/>
    <xf numFmtId="44" fontId="12" fillId="0" borderId="0"/>
  </cellStyleXfs>
  <cellXfs count="119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1" fillId="0" borderId="1" pivotButton="0" quotePrefix="0" xfId="0"/>
    <xf numFmtId="0" fontId="2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0" fontId="1" fillId="0" borderId="4" applyAlignment="1" pivotButton="0" quotePrefix="0" xfId="0">
      <alignment horizontal="centerContinuous"/>
    </xf>
    <xf numFmtId="0" fontId="3" fillId="0" borderId="0" pivotButton="0" quotePrefix="0" xfId="1"/>
    <xf numFmtId="0" fontId="1" fillId="0" borderId="0" pivotButton="0" quotePrefix="0" xfId="1"/>
    <xf numFmtId="0" fontId="2" fillId="0" borderId="0" pivotButton="0" quotePrefix="0" xfId="1"/>
    <xf numFmtId="14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left" indent="1"/>
    </xf>
    <xf numFmtId="0" fontId="1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left"/>
    </xf>
    <xf numFmtId="0" fontId="1" fillId="0" borderId="0" applyAlignment="1" pivotButton="0" quotePrefix="0" xfId="1">
      <alignment horizontal="left" indent="1"/>
    </xf>
    <xf numFmtId="164" fontId="1" fillId="0" borderId="5" pivotButton="0" quotePrefix="0" xfId="1"/>
    <xf numFmtId="165" fontId="1" fillId="0" borderId="0" pivotButton="0" quotePrefix="0" xfId="1"/>
    <xf numFmtId="166" fontId="5" fillId="0" borderId="0" pivotButton="0" quotePrefix="0" xfId="1"/>
    <xf numFmtId="167" fontId="1" fillId="0" borderId="0" pivotButton="0" quotePrefix="0" xfId="1"/>
    <xf numFmtId="168" fontId="1" fillId="0" borderId="5" pivotButton="0" quotePrefix="0" xfId="1"/>
    <xf numFmtId="0" fontId="2" fillId="2" borderId="0" applyAlignment="1" pivotButton="0" quotePrefix="0" xfId="1">
      <alignment horizontal="left" indent="1"/>
    </xf>
    <xf numFmtId="0" fontId="2" fillId="2" borderId="0" pivotButton="0" quotePrefix="0" xfId="1"/>
    <xf numFmtId="164" fontId="2" fillId="2" borderId="0" pivotButton="0" quotePrefix="0" xfId="1"/>
    <xf numFmtId="169" fontId="2" fillId="2" borderId="0" pivotButton="0" quotePrefix="0" xfId="1"/>
    <xf numFmtId="0" fontId="6" fillId="0" borderId="0" applyAlignment="1" pivotButton="0" quotePrefix="0" xfId="1">
      <alignment horizontal="centerContinuous"/>
    </xf>
    <xf numFmtId="0" fontId="7" fillId="0" borderId="0" applyAlignment="1" pivotButton="0" quotePrefix="0" xfId="1">
      <alignment horizontal="centerContinuous"/>
    </xf>
    <xf numFmtId="0" fontId="1" fillId="0" borderId="6" pivotButton="0" quotePrefix="0" xfId="1"/>
    <xf numFmtId="166" fontId="1" fillId="0" borderId="0" pivotButton="0" quotePrefix="0" xfId="1"/>
    <xf numFmtId="164" fontId="1" fillId="0" borderId="7" pivotButton="0" quotePrefix="0" xfId="1"/>
    <xf numFmtId="165" fontId="1" fillId="0" borderId="8" pivotButton="0" quotePrefix="0" xfId="1"/>
    <xf numFmtId="166" fontId="4" fillId="0" borderId="0" applyAlignment="1" pivotButton="0" quotePrefix="0" xfId="1">
      <alignment horizontal="center"/>
    </xf>
    <xf numFmtId="169" fontId="8" fillId="0" borderId="0" pivotButton="0" quotePrefix="0" xfId="1"/>
    <xf numFmtId="169" fontId="1" fillId="0" borderId="7" pivotButton="0" quotePrefix="0" xfId="1"/>
    <xf numFmtId="169" fontId="1" fillId="0" borderId="5" pivotButton="0" quotePrefix="0" xfId="1"/>
    <xf numFmtId="39" fontId="1" fillId="0" borderId="8" pivotButton="0" quotePrefix="0" xfId="1"/>
    <xf numFmtId="39" fontId="1" fillId="0" borderId="0" pivotButton="0" quotePrefix="0" xfId="1"/>
    <xf numFmtId="170" fontId="2" fillId="0" borderId="3" pivotButton="0" quotePrefix="0" xfId="0"/>
    <xf numFmtId="37" fontId="1" fillId="0" borderId="0" pivotButton="0" quotePrefix="0" xfId="1"/>
    <xf numFmtId="171" fontId="1" fillId="0" borderId="0" pivotButton="0" quotePrefix="0" xfId="1"/>
    <xf numFmtId="169" fontId="0" fillId="0" borderId="0" pivotButton="0" quotePrefix="0" xfId="0"/>
    <xf numFmtId="0" fontId="3" fillId="0" borderId="0" pivotButton="0" quotePrefix="0" xfId="0"/>
    <xf numFmtId="0" fontId="10" fillId="3" borderId="2" pivotButton="0" quotePrefix="0" xfId="0"/>
    <xf numFmtId="0" fontId="11" fillId="3" borderId="3" pivotButton="0" quotePrefix="0" xfId="0"/>
    <xf numFmtId="0" fontId="11" fillId="3" borderId="4" pivotButton="0" quotePrefix="0" xfId="0"/>
    <xf numFmtId="0" fontId="10" fillId="3" borderId="2" applyAlignment="1" pivotButton="0" quotePrefix="0" xfId="1">
      <alignment horizontal="centerContinuous"/>
    </xf>
    <xf numFmtId="0" fontId="10" fillId="3" borderId="3" applyAlignment="1" pivotButton="0" quotePrefix="0" xfId="1">
      <alignment horizontal="centerContinuous"/>
    </xf>
    <xf numFmtId="0" fontId="10" fillId="3" borderId="4" applyAlignment="1" pivotButton="0" quotePrefix="0" xfId="1">
      <alignment horizontal="centerContinuous"/>
    </xf>
    <xf numFmtId="164" fontId="1" fillId="0" borderId="0" pivotButton="0" quotePrefix="0" xfId="1"/>
    <xf numFmtId="167" fontId="9" fillId="0" borderId="1" pivotButton="0" quotePrefix="0" xfId="1"/>
    <xf numFmtId="169" fontId="1" fillId="0" borderId="0" pivotButton="0" quotePrefix="0" xfId="1"/>
    <xf numFmtId="166" fontId="9" fillId="0" borderId="9" pivotButton="0" quotePrefix="0" xfId="1"/>
    <xf numFmtId="9" fontId="0" fillId="0" borderId="0" pivotButton="0" quotePrefix="0" xfId="2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72" fontId="9" fillId="0" borderId="0" pivotButton="0" quotePrefix="0" xfId="2"/>
    <xf numFmtId="167" fontId="9" fillId="0" borderId="0" pivotButton="0" quotePrefix="0" xfId="1"/>
    <xf numFmtId="0" fontId="13" fillId="0" borderId="0" pivotButton="0" quotePrefix="0" xfId="1"/>
    <xf numFmtId="170" fontId="2" fillId="0" borderId="1" pivotButton="0" quotePrefix="0" xfId="0"/>
    <xf numFmtId="173" fontId="9" fillId="0" borderId="0" pivotButton="0" quotePrefix="0" xfId="3"/>
    <xf numFmtId="172" fontId="1" fillId="0" borderId="0" pivotButton="0" quotePrefix="0" xfId="2"/>
    <xf numFmtId="3" fontId="9" fillId="0" borderId="0" pivotButton="0" quotePrefix="0" xfId="0"/>
    <xf numFmtId="9" fontId="9" fillId="0" borderId="0" pivotButton="0" quotePrefix="0" xfId="2"/>
    <xf numFmtId="172" fontId="0" fillId="0" borderId="10" pivotButton="0" quotePrefix="0" xfId="0"/>
    <xf numFmtId="174" fontId="0" fillId="0" borderId="0" pivotButton="0" quotePrefix="0" xfId="0"/>
    <xf numFmtId="174" fontId="1" fillId="0" borderId="5" pivotButton="0" quotePrefix="0" xfId="1"/>
    <xf numFmtId="0" fontId="1" fillId="0" borderId="7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6" pivotButton="0" quotePrefix="0" xfId="0"/>
    <xf numFmtId="0" fontId="1" fillId="0" borderId="8" pivotButton="0" quotePrefix="0" xfId="0"/>
    <xf numFmtId="0" fontId="1" fillId="0" borderId="12" pivotButton="0" quotePrefix="0" xfId="0"/>
    <xf numFmtId="167" fontId="9" fillId="0" borderId="6" applyAlignment="1" pivotButton="0" quotePrefix="0" xfId="1">
      <alignment horizontal="center"/>
    </xf>
    <xf numFmtId="175" fontId="9" fillId="0" borderId="13" applyAlignment="1" pivotButton="0" quotePrefix="0" xfId="1">
      <alignment horizontal="center"/>
    </xf>
    <xf numFmtId="0" fontId="1" fillId="0" borderId="2" pivotButton="0" quotePrefix="0" xfId="1"/>
    <xf numFmtId="0" fontId="0" fillId="0" borderId="3" pivotButton="0" quotePrefix="0" xfId="0"/>
    <xf numFmtId="174" fontId="0" fillId="0" borderId="3" pivotButton="0" quotePrefix="0" xfId="0"/>
    <xf numFmtId="174" fontId="0" fillId="0" borderId="4" pivotButton="0" quotePrefix="0" xfId="0"/>
    <xf numFmtId="171" fontId="1" fillId="4" borderId="0" pivotButton="0" quotePrefix="0" xfId="1"/>
    <xf numFmtId="174" fontId="0" fillId="4" borderId="0" pivotButton="0" quotePrefix="0" xfId="0"/>
    <xf numFmtId="0" fontId="1" fillId="0" borderId="1" pivotButton="0" quotePrefix="0" xfId="1"/>
    <xf numFmtId="171" fontId="1" fillId="4" borderId="1" pivotButton="0" quotePrefix="0" xfId="1"/>
    <xf numFmtId="164" fontId="1" fillId="4" borderId="5" pivotButton="0" quotePrefix="0" xfId="1"/>
    <xf numFmtId="174" fontId="1" fillId="4" borderId="5" pivotButton="0" quotePrefix="0" xfId="1"/>
    <xf numFmtId="174" fontId="0" fillId="5" borderId="0" pivotButton="0" quotePrefix="0" xfId="0"/>
    <xf numFmtId="9" fontId="0" fillId="4" borderId="0" pivotButton="0" quotePrefix="0" xfId="0"/>
    <xf numFmtId="174" fontId="0" fillId="6" borderId="0" pivotButton="0" quotePrefix="0" xfId="0"/>
    <xf numFmtId="170" fontId="2" fillId="0" borderId="3" pivotButton="0" quotePrefix="0" xfId="0"/>
    <xf numFmtId="172" fontId="9" fillId="0" borderId="0" pivotButton="0" quotePrefix="0" xfId="2"/>
    <xf numFmtId="174" fontId="0" fillId="0" borderId="0" pivotButton="0" quotePrefix="0" xfId="0"/>
    <xf numFmtId="174" fontId="0" fillId="4" borderId="0" pivotButton="0" quotePrefix="0" xfId="0"/>
    <xf numFmtId="174" fontId="0" fillId="5" borderId="0" pivotButton="0" quotePrefix="0" xfId="0"/>
    <xf numFmtId="170" fontId="2" fillId="0" borderId="1" pivotButton="0" quotePrefix="0" xfId="0"/>
    <xf numFmtId="173" fontId="9" fillId="0" borderId="0" pivotButton="0" quotePrefix="0" xfId="3"/>
    <xf numFmtId="172" fontId="1" fillId="0" borderId="0" pivotButton="0" quotePrefix="0" xfId="2"/>
    <xf numFmtId="171" fontId="1" fillId="4" borderId="1" pivotButton="0" quotePrefix="0" xfId="1"/>
    <xf numFmtId="172" fontId="0" fillId="0" borderId="10" pivotButton="0" quotePrefix="0" xfId="0"/>
    <xf numFmtId="174" fontId="0" fillId="6" borderId="0" pivotButton="0" quotePrefix="0" xfId="0"/>
    <xf numFmtId="171" fontId="1" fillId="4" borderId="0" pivotButton="0" quotePrefix="0" xfId="1"/>
    <xf numFmtId="174" fontId="1" fillId="0" borderId="5" pivotButton="0" quotePrefix="0" xfId="1"/>
    <xf numFmtId="174" fontId="1" fillId="4" borderId="5" pivotButton="0" quotePrefix="0" xfId="1"/>
    <xf numFmtId="164" fontId="1" fillId="0" borderId="5" pivotButton="0" quotePrefix="0" xfId="1"/>
    <xf numFmtId="164" fontId="1" fillId="4" borderId="5" pivotButton="0" quotePrefix="0" xfId="1"/>
    <xf numFmtId="174" fontId="0" fillId="0" borderId="3" pivotButton="0" quotePrefix="0" xfId="0"/>
    <xf numFmtId="174" fontId="0" fillId="0" borderId="4" pivotButton="0" quotePrefix="0" xfId="0"/>
    <xf numFmtId="169" fontId="0" fillId="0" borderId="0" pivotButton="0" quotePrefix="0" xfId="0"/>
    <xf numFmtId="164" fontId="0" fillId="0" borderId="0" pivotButton="0" quotePrefix="0" xfId="0"/>
    <xf numFmtId="164" fontId="1" fillId="0" borderId="0" pivotButton="0" quotePrefix="0" xfId="1"/>
    <xf numFmtId="168" fontId="1" fillId="0" borderId="5" pivotButton="0" quotePrefix="0" xfId="1"/>
    <xf numFmtId="171" fontId="1" fillId="0" borderId="0" pivotButton="0" quotePrefix="0" xfId="1"/>
    <xf numFmtId="164" fontId="2" fillId="2" borderId="0" pivotButton="0" quotePrefix="0" xfId="1"/>
    <xf numFmtId="169" fontId="2" fillId="2" borderId="0" pivotButton="0" quotePrefix="0" xfId="1"/>
    <xf numFmtId="175" fontId="9" fillId="0" borderId="13" applyAlignment="1" pivotButton="0" quotePrefix="0" xfId="1">
      <alignment horizontal="center"/>
    </xf>
    <xf numFmtId="164" fontId="1" fillId="0" borderId="7" pivotButton="0" quotePrefix="0" xfId="1"/>
    <xf numFmtId="165" fontId="1" fillId="0" borderId="8" pivotButton="0" quotePrefix="0" xfId="1"/>
    <xf numFmtId="165" fontId="1" fillId="0" borderId="0" pivotButton="0" quotePrefix="0" xfId="1"/>
    <xf numFmtId="169" fontId="8" fillId="0" borderId="0" pivotButton="0" quotePrefix="0" xfId="1"/>
    <xf numFmtId="169" fontId="1" fillId="0" borderId="7" pivotButton="0" quotePrefix="0" xfId="1"/>
    <xf numFmtId="169" fontId="1" fillId="0" borderId="5" pivotButton="0" quotePrefix="0" xfId="1"/>
    <xf numFmtId="169" fontId="1" fillId="0" borderId="0" pivotButton="0" quotePrefix="0" xfId="1"/>
  </cellXfs>
  <cellStyles count="4">
    <cellStyle name="Normal" xfId="0" builtinId="0"/>
    <cellStyle name="Normal 2" xfId="1"/>
    <cellStyle name="Percent" xfId="2" builtinId="5"/>
    <cellStyle name="Currency" xfId="3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tabColor rgb="FF339933"/>
    <outlinePr summaryBelow="1" summaryRight="1"/>
    <pageSetUpPr fitToPage="1"/>
  </sheetPr>
  <dimension ref="A1:Q78"/>
  <sheetViews>
    <sheetView showGridLines="0" tabSelected="1" topLeftCell="B3" zoomScale="170" zoomScaleNormal="170" zoomScaleSheetLayoutView="85" workbookViewId="0">
      <selection activeCell="P14" sqref="P14"/>
    </sheetView>
  </sheetViews>
  <sheetFormatPr baseColWidth="10" defaultColWidth="8.83203125" defaultRowHeight="13"/>
  <cols>
    <col width="1.6640625" customWidth="1" min="1" max="2"/>
    <col width="9.33203125" bestFit="1" customWidth="1" min="4" max="5"/>
    <col width="7.5" customWidth="1" min="6" max="6"/>
    <col width="4.33203125" customWidth="1" min="7" max="7"/>
    <col width="3.6640625" customWidth="1" min="8" max="8"/>
    <col width="15.6640625" customWidth="1" min="9" max="13"/>
    <col width="3.6640625" customWidth="1" min="14" max="14"/>
    <col width="15.6640625" customWidth="1" min="15" max="17"/>
    <col width="16.83203125" bestFit="1" customWidth="1" min="18" max="18"/>
    <col width="21.5" bestFit="1" customWidth="1" min="19" max="19"/>
    <col width="11.6640625" bestFit="1" customWidth="1" min="20" max="20"/>
    <col width="17.6640625" bestFit="1" customWidth="1" min="21" max="21"/>
    <col width="1.6640625" customWidth="1" min="257" max="258"/>
    <col width="9.33203125" bestFit="1" customWidth="1" min="260" max="261"/>
    <col width="9.83203125" bestFit="1" customWidth="1" min="262" max="262"/>
    <col width="11.5" bestFit="1" customWidth="1" min="263" max="263"/>
    <col width="10.6640625" customWidth="1" min="264" max="264"/>
    <col width="15.6640625" customWidth="1" min="265" max="269"/>
    <col width="3.6640625" customWidth="1" min="270" max="270"/>
    <col width="15.6640625" customWidth="1" min="271" max="275"/>
    <col width="11.33203125" bestFit="1" customWidth="1" min="277" max="277"/>
    <col width="1.6640625" customWidth="1" min="513" max="514"/>
    <col width="9.33203125" bestFit="1" customWidth="1" min="516" max="517"/>
    <col width="9.83203125" bestFit="1" customWidth="1" min="518" max="518"/>
    <col width="11.5" bestFit="1" customWidth="1" min="519" max="519"/>
    <col width="10.6640625" customWidth="1" min="520" max="520"/>
    <col width="15.6640625" customWidth="1" min="521" max="525"/>
    <col width="3.6640625" customWidth="1" min="526" max="526"/>
    <col width="15.6640625" customWidth="1" min="527" max="531"/>
    <col width="11.33203125" bestFit="1" customWidth="1" min="533" max="533"/>
    <col width="1.6640625" customWidth="1" min="769" max="770"/>
    <col width="9.33203125" bestFit="1" customWidth="1" min="772" max="773"/>
    <col width="9.83203125" bestFit="1" customWidth="1" min="774" max="774"/>
    <col width="11.5" bestFit="1" customWidth="1" min="775" max="775"/>
    <col width="10.6640625" customWidth="1" min="776" max="776"/>
    <col width="15.6640625" customWidth="1" min="777" max="781"/>
    <col width="3.6640625" customWidth="1" min="782" max="782"/>
    <col width="15.6640625" customWidth="1" min="783" max="787"/>
    <col width="11.33203125" bestFit="1" customWidth="1" min="789" max="789"/>
    <col width="1.6640625" customWidth="1" min="1025" max="1026"/>
    <col width="9.33203125" bestFit="1" customWidth="1" min="1028" max="1029"/>
    <col width="9.83203125" bestFit="1" customWidth="1" min="1030" max="1030"/>
    <col width="11.5" bestFit="1" customWidth="1" min="1031" max="1031"/>
    <col width="10.6640625" customWidth="1" min="1032" max="1032"/>
    <col width="15.6640625" customWidth="1" min="1033" max="1037"/>
    <col width="3.6640625" customWidth="1" min="1038" max="1038"/>
    <col width="15.6640625" customWidth="1" min="1039" max="1043"/>
    <col width="11.33203125" bestFit="1" customWidth="1" min="1045" max="1045"/>
    <col width="1.6640625" customWidth="1" min="1281" max="1282"/>
    <col width="9.33203125" bestFit="1" customWidth="1" min="1284" max="1285"/>
    <col width="9.83203125" bestFit="1" customWidth="1" min="1286" max="1286"/>
    <col width="11.5" bestFit="1" customWidth="1" min="1287" max="1287"/>
    <col width="10.6640625" customWidth="1" min="1288" max="1288"/>
    <col width="15.6640625" customWidth="1" min="1289" max="1293"/>
    <col width="3.6640625" customWidth="1" min="1294" max="1294"/>
    <col width="15.6640625" customWidth="1" min="1295" max="1299"/>
    <col width="11.33203125" bestFit="1" customWidth="1" min="1301" max="1301"/>
    <col width="1.6640625" customWidth="1" min="1537" max="1538"/>
    <col width="9.33203125" bestFit="1" customWidth="1" min="1540" max="1541"/>
    <col width="9.83203125" bestFit="1" customWidth="1" min="1542" max="1542"/>
    <col width="11.5" bestFit="1" customWidth="1" min="1543" max="1543"/>
    <col width="10.6640625" customWidth="1" min="1544" max="1544"/>
    <col width="15.6640625" customWidth="1" min="1545" max="1549"/>
    <col width="3.6640625" customWidth="1" min="1550" max="1550"/>
    <col width="15.6640625" customWidth="1" min="1551" max="1555"/>
    <col width="11.33203125" bestFit="1" customWidth="1" min="1557" max="1557"/>
    <col width="1.6640625" customWidth="1" min="1793" max="1794"/>
    <col width="9.33203125" bestFit="1" customWidth="1" min="1796" max="1797"/>
    <col width="9.83203125" bestFit="1" customWidth="1" min="1798" max="1798"/>
    <col width="11.5" bestFit="1" customWidth="1" min="1799" max="1799"/>
    <col width="10.6640625" customWidth="1" min="1800" max="1800"/>
    <col width="15.6640625" customWidth="1" min="1801" max="1805"/>
    <col width="3.6640625" customWidth="1" min="1806" max="1806"/>
    <col width="15.6640625" customWidth="1" min="1807" max="1811"/>
    <col width="11.33203125" bestFit="1" customWidth="1" min="1813" max="1813"/>
    <col width="1.6640625" customWidth="1" min="2049" max="2050"/>
    <col width="9.33203125" bestFit="1" customWidth="1" min="2052" max="2053"/>
    <col width="9.83203125" bestFit="1" customWidth="1" min="2054" max="2054"/>
    <col width="11.5" bestFit="1" customWidth="1" min="2055" max="2055"/>
    <col width="10.6640625" customWidth="1" min="2056" max="2056"/>
    <col width="15.6640625" customWidth="1" min="2057" max="2061"/>
    <col width="3.6640625" customWidth="1" min="2062" max="2062"/>
    <col width="15.6640625" customWidth="1" min="2063" max="2067"/>
    <col width="11.33203125" bestFit="1" customWidth="1" min="2069" max="2069"/>
    <col width="1.6640625" customWidth="1" min="2305" max="2306"/>
    <col width="9.33203125" bestFit="1" customWidth="1" min="2308" max="2309"/>
    <col width="9.83203125" bestFit="1" customWidth="1" min="2310" max="2310"/>
    <col width="11.5" bestFit="1" customWidth="1" min="2311" max="2311"/>
    <col width="10.6640625" customWidth="1" min="2312" max="2312"/>
    <col width="15.6640625" customWidth="1" min="2313" max="2317"/>
    <col width="3.6640625" customWidth="1" min="2318" max="2318"/>
    <col width="15.6640625" customWidth="1" min="2319" max="2323"/>
    <col width="11.33203125" bestFit="1" customWidth="1" min="2325" max="2325"/>
    <col width="1.6640625" customWidth="1" min="2561" max="2562"/>
    <col width="9.33203125" bestFit="1" customWidth="1" min="2564" max="2565"/>
    <col width="9.83203125" bestFit="1" customWidth="1" min="2566" max="2566"/>
    <col width="11.5" bestFit="1" customWidth="1" min="2567" max="2567"/>
    <col width="10.6640625" customWidth="1" min="2568" max="2568"/>
    <col width="15.6640625" customWidth="1" min="2569" max="2573"/>
    <col width="3.6640625" customWidth="1" min="2574" max="2574"/>
    <col width="15.6640625" customWidth="1" min="2575" max="2579"/>
    <col width="11.33203125" bestFit="1" customWidth="1" min="2581" max="2581"/>
    <col width="1.6640625" customWidth="1" min="2817" max="2818"/>
    <col width="9.33203125" bestFit="1" customWidth="1" min="2820" max="2821"/>
    <col width="9.83203125" bestFit="1" customWidth="1" min="2822" max="2822"/>
    <col width="11.5" bestFit="1" customWidth="1" min="2823" max="2823"/>
    <col width="10.6640625" customWidth="1" min="2824" max="2824"/>
    <col width="15.6640625" customWidth="1" min="2825" max="2829"/>
    <col width="3.6640625" customWidth="1" min="2830" max="2830"/>
    <col width="15.6640625" customWidth="1" min="2831" max="2835"/>
    <col width="11.33203125" bestFit="1" customWidth="1" min="2837" max="2837"/>
    <col width="1.6640625" customWidth="1" min="3073" max="3074"/>
    <col width="9.33203125" bestFit="1" customWidth="1" min="3076" max="3077"/>
    <col width="9.83203125" bestFit="1" customWidth="1" min="3078" max="3078"/>
    <col width="11.5" bestFit="1" customWidth="1" min="3079" max="3079"/>
    <col width="10.6640625" customWidth="1" min="3080" max="3080"/>
    <col width="15.6640625" customWidth="1" min="3081" max="3085"/>
    <col width="3.6640625" customWidth="1" min="3086" max="3086"/>
    <col width="15.6640625" customWidth="1" min="3087" max="3091"/>
    <col width="11.33203125" bestFit="1" customWidth="1" min="3093" max="3093"/>
    <col width="1.6640625" customWidth="1" min="3329" max="3330"/>
    <col width="9.33203125" bestFit="1" customWidth="1" min="3332" max="3333"/>
    <col width="9.83203125" bestFit="1" customWidth="1" min="3334" max="3334"/>
    <col width="11.5" bestFit="1" customWidth="1" min="3335" max="3335"/>
    <col width="10.6640625" customWidth="1" min="3336" max="3336"/>
    <col width="15.6640625" customWidth="1" min="3337" max="3341"/>
    <col width="3.6640625" customWidth="1" min="3342" max="3342"/>
    <col width="15.6640625" customWidth="1" min="3343" max="3347"/>
    <col width="11.33203125" bestFit="1" customWidth="1" min="3349" max="3349"/>
    <col width="1.6640625" customWidth="1" min="3585" max="3586"/>
    <col width="9.33203125" bestFit="1" customWidth="1" min="3588" max="3589"/>
    <col width="9.83203125" bestFit="1" customWidth="1" min="3590" max="3590"/>
    <col width="11.5" bestFit="1" customWidth="1" min="3591" max="3591"/>
    <col width="10.6640625" customWidth="1" min="3592" max="3592"/>
    <col width="15.6640625" customWidth="1" min="3593" max="3597"/>
    <col width="3.6640625" customWidth="1" min="3598" max="3598"/>
    <col width="15.6640625" customWidth="1" min="3599" max="3603"/>
    <col width="11.33203125" bestFit="1" customWidth="1" min="3605" max="3605"/>
    <col width="1.6640625" customWidth="1" min="3841" max="3842"/>
    <col width="9.33203125" bestFit="1" customWidth="1" min="3844" max="3845"/>
    <col width="9.83203125" bestFit="1" customWidth="1" min="3846" max="3846"/>
    <col width="11.5" bestFit="1" customWidth="1" min="3847" max="3847"/>
    <col width="10.6640625" customWidth="1" min="3848" max="3848"/>
    <col width="15.6640625" customWidth="1" min="3849" max="3853"/>
    <col width="3.6640625" customWidth="1" min="3854" max="3854"/>
    <col width="15.6640625" customWidth="1" min="3855" max="3859"/>
    <col width="11.33203125" bestFit="1" customWidth="1" min="3861" max="3861"/>
    <col width="1.6640625" customWidth="1" min="4097" max="4098"/>
    <col width="9.33203125" bestFit="1" customWidth="1" min="4100" max="4101"/>
    <col width="9.83203125" bestFit="1" customWidth="1" min="4102" max="4102"/>
    <col width="11.5" bestFit="1" customWidth="1" min="4103" max="4103"/>
    <col width="10.6640625" customWidth="1" min="4104" max="4104"/>
    <col width="15.6640625" customWidth="1" min="4105" max="4109"/>
    <col width="3.6640625" customWidth="1" min="4110" max="4110"/>
    <col width="15.6640625" customWidth="1" min="4111" max="4115"/>
    <col width="11.33203125" bestFit="1" customWidth="1" min="4117" max="4117"/>
    <col width="1.6640625" customWidth="1" min="4353" max="4354"/>
    <col width="9.33203125" bestFit="1" customWidth="1" min="4356" max="4357"/>
    <col width="9.83203125" bestFit="1" customWidth="1" min="4358" max="4358"/>
    <col width="11.5" bestFit="1" customWidth="1" min="4359" max="4359"/>
    <col width="10.6640625" customWidth="1" min="4360" max="4360"/>
    <col width="15.6640625" customWidth="1" min="4361" max="4365"/>
    <col width="3.6640625" customWidth="1" min="4366" max="4366"/>
    <col width="15.6640625" customWidth="1" min="4367" max="4371"/>
    <col width="11.33203125" bestFit="1" customWidth="1" min="4373" max="4373"/>
    <col width="1.6640625" customWidth="1" min="4609" max="4610"/>
    <col width="9.33203125" bestFit="1" customWidth="1" min="4612" max="4613"/>
    <col width="9.83203125" bestFit="1" customWidth="1" min="4614" max="4614"/>
    <col width="11.5" bestFit="1" customWidth="1" min="4615" max="4615"/>
    <col width="10.6640625" customWidth="1" min="4616" max="4616"/>
    <col width="15.6640625" customWidth="1" min="4617" max="4621"/>
    <col width="3.6640625" customWidth="1" min="4622" max="4622"/>
    <col width="15.6640625" customWidth="1" min="4623" max="4627"/>
    <col width="11.33203125" bestFit="1" customWidth="1" min="4629" max="4629"/>
    <col width="1.6640625" customWidth="1" min="4865" max="4866"/>
    <col width="9.33203125" bestFit="1" customWidth="1" min="4868" max="4869"/>
    <col width="9.83203125" bestFit="1" customWidth="1" min="4870" max="4870"/>
    <col width="11.5" bestFit="1" customWidth="1" min="4871" max="4871"/>
    <col width="10.6640625" customWidth="1" min="4872" max="4872"/>
    <col width="15.6640625" customWidth="1" min="4873" max="4877"/>
    <col width="3.6640625" customWidth="1" min="4878" max="4878"/>
    <col width="15.6640625" customWidth="1" min="4879" max="4883"/>
    <col width="11.33203125" bestFit="1" customWidth="1" min="4885" max="4885"/>
    <col width="1.6640625" customWidth="1" min="5121" max="5122"/>
    <col width="9.33203125" bestFit="1" customWidth="1" min="5124" max="5125"/>
    <col width="9.83203125" bestFit="1" customWidth="1" min="5126" max="5126"/>
    <col width="11.5" bestFit="1" customWidth="1" min="5127" max="5127"/>
    <col width="10.6640625" customWidth="1" min="5128" max="5128"/>
    <col width="15.6640625" customWidth="1" min="5129" max="5133"/>
    <col width="3.6640625" customWidth="1" min="5134" max="5134"/>
    <col width="15.6640625" customWidth="1" min="5135" max="5139"/>
    <col width="11.33203125" bestFit="1" customWidth="1" min="5141" max="5141"/>
    <col width="1.6640625" customWidth="1" min="5377" max="5378"/>
    <col width="9.33203125" bestFit="1" customWidth="1" min="5380" max="5381"/>
    <col width="9.83203125" bestFit="1" customWidth="1" min="5382" max="5382"/>
    <col width="11.5" bestFit="1" customWidth="1" min="5383" max="5383"/>
    <col width="10.6640625" customWidth="1" min="5384" max="5384"/>
    <col width="15.6640625" customWidth="1" min="5385" max="5389"/>
    <col width="3.6640625" customWidth="1" min="5390" max="5390"/>
    <col width="15.6640625" customWidth="1" min="5391" max="5395"/>
    <col width="11.33203125" bestFit="1" customWidth="1" min="5397" max="5397"/>
    <col width="1.6640625" customWidth="1" min="5633" max="5634"/>
    <col width="9.33203125" bestFit="1" customWidth="1" min="5636" max="5637"/>
    <col width="9.83203125" bestFit="1" customWidth="1" min="5638" max="5638"/>
    <col width="11.5" bestFit="1" customWidth="1" min="5639" max="5639"/>
    <col width="10.6640625" customWidth="1" min="5640" max="5640"/>
    <col width="15.6640625" customWidth="1" min="5641" max="5645"/>
    <col width="3.6640625" customWidth="1" min="5646" max="5646"/>
    <col width="15.6640625" customWidth="1" min="5647" max="5651"/>
    <col width="11.33203125" bestFit="1" customWidth="1" min="5653" max="5653"/>
    <col width="1.6640625" customWidth="1" min="5889" max="5890"/>
    <col width="9.33203125" bestFit="1" customWidth="1" min="5892" max="5893"/>
    <col width="9.83203125" bestFit="1" customWidth="1" min="5894" max="5894"/>
    <col width="11.5" bestFit="1" customWidth="1" min="5895" max="5895"/>
    <col width="10.6640625" customWidth="1" min="5896" max="5896"/>
    <col width="15.6640625" customWidth="1" min="5897" max="5901"/>
    <col width="3.6640625" customWidth="1" min="5902" max="5902"/>
    <col width="15.6640625" customWidth="1" min="5903" max="5907"/>
    <col width="11.33203125" bestFit="1" customWidth="1" min="5909" max="5909"/>
    <col width="1.6640625" customWidth="1" min="6145" max="6146"/>
    <col width="9.33203125" bestFit="1" customWidth="1" min="6148" max="6149"/>
    <col width="9.83203125" bestFit="1" customWidth="1" min="6150" max="6150"/>
    <col width="11.5" bestFit="1" customWidth="1" min="6151" max="6151"/>
    <col width="10.6640625" customWidth="1" min="6152" max="6152"/>
    <col width="15.6640625" customWidth="1" min="6153" max="6157"/>
    <col width="3.6640625" customWidth="1" min="6158" max="6158"/>
    <col width="15.6640625" customWidth="1" min="6159" max="6163"/>
    <col width="11.33203125" bestFit="1" customWidth="1" min="6165" max="6165"/>
    <col width="1.6640625" customWidth="1" min="6401" max="6402"/>
    <col width="9.33203125" bestFit="1" customWidth="1" min="6404" max="6405"/>
    <col width="9.83203125" bestFit="1" customWidth="1" min="6406" max="6406"/>
    <col width="11.5" bestFit="1" customWidth="1" min="6407" max="6407"/>
    <col width="10.6640625" customWidth="1" min="6408" max="6408"/>
    <col width="15.6640625" customWidth="1" min="6409" max="6413"/>
    <col width="3.6640625" customWidth="1" min="6414" max="6414"/>
    <col width="15.6640625" customWidth="1" min="6415" max="6419"/>
    <col width="11.33203125" bestFit="1" customWidth="1" min="6421" max="6421"/>
    <col width="1.6640625" customWidth="1" min="6657" max="6658"/>
    <col width="9.33203125" bestFit="1" customWidth="1" min="6660" max="6661"/>
    <col width="9.83203125" bestFit="1" customWidth="1" min="6662" max="6662"/>
    <col width="11.5" bestFit="1" customWidth="1" min="6663" max="6663"/>
    <col width="10.6640625" customWidth="1" min="6664" max="6664"/>
    <col width="15.6640625" customWidth="1" min="6665" max="6669"/>
    <col width="3.6640625" customWidth="1" min="6670" max="6670"/>
    <col width="15.6640625" customWidth="1" min="6671" max="6675"/>
    <col width="11.33203125" bestFit="1" customWidth="1" min="6677" max="6677"/>
    <col width="1.6640625" customWidth="1" min="6913" max="6914"/>
    <col width="9.33203125" bestFit="1" customWidth="1" min="6916" max="6917"/>
    <col width="9.83203125" bestFit="1" customWidth="1" min="6918" max="6918"/>
    <col width="11.5" bestFit="1" customWidth="1" min="6919" max="6919"/>
    <col width="10.6640625" customWidth="1" min="6920" max="6920"/>
    <col width="15.6640625" customWidth="1" min="6921" max="6925"/>
    <col width="3.6640625" customWidth="1" min="6926" max="6926"/>
    <col width="15.6640625" customWidth="1" min="6927" max="6931"/>
    <col width="11.33203125" bestFit="1" customWidth="1" min="6933" max="6933"/>
    <col width="1.6640625" customWidth="1" min="7169" max="7170"/>
    <col width="9.33203125" bestFit="1" customWidth="1" min="7172" max="7173"/>
    <col width="9.83203125" bestFit="1" customWidth="1" min="7174" max="7174"/>
    <col width="11.5" bestFit="1" customWidth="1" min="7175" max="7175"/>
    <col width="10.6640625" customWidth="1" min="7176" max="7176"/>
    <col width="15.6640625" customWidth="1" min="7177" max="7181"/>
    <col width="3.6640625" customWidth="1" min="7182" max="7182"/>
    <col width="15.6640625" customWidth="1" min="7183" max="7187"/>
    <col width="11.33203125" bestFit="1" customWidth="1" min="7189" max="7189"/>
    <col width="1.6640625" customWidth="1" min="7425" max="7426"/>
    <col width="9.33203125" bestFit="1" customWidth="1" min="7428" max="7429"/>
    <col width="9.83203125" bestFit="1" customWidth="1" min="7430" max="7430"/>
    <col width="11.5" bestFit="1" customWidth="1" min="7431" max="7431"/>
    <col width="10.6640625" customWidth="1" min="7432" max="7432"/>
    <col width="15.6640625" customWidth="1" min="7433" max="7437"/>
    <col width="3.6640625" customWidth="1" min="7438" max="7438"/>
    <col width="15.6640625" customWidth="1" min="7439" max="7443"/>
    <col width="11.33203125" bestFit="1" customWidth="1" min="7445" max="7445"/>
    <col width="1.6640625" customWidth="1" min="7681" max="7682"/>
    <col width="9.33203125" bestFit="1" customWidth="1" min="7684" max="7685"/>
    <col width="9.83203125" bestFit="1" customWidth="1" min="7686" max="7686"/>
    <col width="11.5" bestFit="1" customWidth="1" min="7687" max="7687"/>
    <col width="10.6640625" customWidth="1" min="7688" max="7688"/>
    <col width="15.6640625" customWidth="1" min="7689" max="7693"/>
    <col width="3.6640625" customWidth="1" min="7694" max="7694"/>
    <col width="15.6640625" customWidth="1" min="7695" max="7699"/>
    <col width="11.33203125" bestFit="1" customWidth="1" min="7701" max="7701"/>
    <col width="1.6640625" customWidth="1" min="7937" max="7938"/>
    <col width="9.33203125" bestFit="1" customWidth="1" min="7940" max="7941"/>
    <col width="9.83203125" bestFit="1" customWidth="1" min="7942" max="7942"/>
    <col width="11.5" bestFit="1" customWidth="1" min="7943" max="7943"/>
    <col width="10.6640625" customWidth="1" min="7944" max="7944"/>
    <col width="15.6640625" customWidth="1" min="7945" max="7949"/>
    <col width="3.6640625" customWidth="1" min="7950" max="7950"/>
    <col width="15.6640625" customWidth="1" min="7951" max="7955"/>
    <col width="11.33203125" bestFit="1" customWidth="1" min="7957" max="7957"/>
    <col width="1.6640625" customWidth="1" min="8193" max="8194"/>
    <col width="9.33203125" bestFit="1" customWidth="1" min="8196" max="8197"/>
    <col width="9.83203125" bestFit="1" customWidth="1" min="8198" max="8198"/>
    <col width="11.5" bestFit="1" customWidth="1" min="8199" max="8199"/>
    <col width="10.6640625" customWidth="1" min="8200" max="8200"/>
    <col width="15.6640625" customWidth="1" min="8201" max="8205"/>
    <col width="3.6640625" customWidth="1" min="8206" max="8206"/>
    <col width="15.6640625" customWidth="1" min="8207" max="8211"/>
    <col width="11.33203125" bestFit="1" customWidth="1" min="8213" max="8213"/>
    <col width="1.6640625" customWidth="1" min="8449" max="8450"/>
    <col width="9.33203125" bestFit="1" customWidth="1" min="8452" max="8453"/>
    <col width="9.83203125" bestFit="1" customWidth="1" min="8454" max="8454"/>
    <col width="11.5" bestFit="1" customWidth="1" min="8455" max="8455"/>
    <col width="10.6640625" customWidth="1" min="8456" max="8456"/>
    <col width="15.6640625" customWidth="1" min="8457" max="8461"/>
    <col width="3.6640625" customWidth="1" min="8462" max="8462"/>
    <col width="15.6640625" customWidth="1" min="8463" max="8467"/>
    <col width="11.33203125" bestFit="1" customWidth="1" min="8469" max="8469"/>
    <col width="1.6640625" customWidth="1" min="8705" max="8706"/>
    <col width="9.33203125" bestFit="1" customWidth="1" min="8708" max="8709"/>
    <col width="9.83203125" bestFit="1" customWidth="1" min="8710" max="8710"/>
    <col width="11.5" bestFit="1" customWidth="1" min="8711" max="8711"/>
    <col width="10.6640625" customWidth="1" min="8712" max="8712"/>
    <col width="15.6640625" customWidth="1" min="8713" max="8717"/>
    <col width="3.6640625" customWidth="1" min="8718" max="8718"/>
    <col width="15.6640625" customWidth="1" min="8719" max="8723"/>
    <col width="11.33203125" bestFit="1" customWidth="1" min="8725" max="8725"/>
    <col width="1.6640625" customWidth="1" min="8961" max="8962"/>
    <col width="9.33203125" bestFit="1" customWidth="1" min="8964" max="8965"/>
    <col width="9.83203125" bestFit="1" customWidth="1" min="8966" max="8966"/>
    <col width="11.5" bestFit="1" customWidth="1" min="8967" max="8967"/>
    <col width="10.6640625" customWidth="1" min="8968" max="8968"/>
    <col width="15.6640625" customWidth="1" min="8969" max="8973"/>
    <col width="3.6640625" customWidth="1" min="8974" max="8974"/>
    <col width="15.6640625" customWidth="1" min="8975" max="8979"/>
    <col width="11.33203125" bestFit="1" customWidth="1" min="8981" max="8981"/>
    <col width="1.6640625" customWidth="1" min="9217" max="9218"/>
    <col width="9.33203125" bestFit="1" customWidth="1" min="9220" max="9221"/>
    <col width="9.83203125" bestFit="1" customWidth="1" min="9222" max="9222"/>
    <col width="11.5" bestFit="1" customWidth="1" min="9223" max="9223"/>
    <col width="10.6640625" customWidth="1" min="9224" max="9224"/>
    <col width="15.6640625" customWidth="1" min="9225" max="9229"/>
    <col width="3.6640625" customWidth="1" min="9230" max="9230"/>
    <col width="15.6640625" customWidth="1" min="9231" max="9235"/>
    <col width="11.33203125" bestFit="1" customWidth="1" min="9237" max="9237"/>
    <col width="1.6640625" customWidth="1" min="9473" max="9474"/>
    <col width="9.33203125" bestFit="1" customWidth="1" min="9476" max="9477"/>
    <col width="9.83203125" bestFit="1" customWidth="1" min="9478" max="9478"/>
    <col width="11.5" bestFit="1" customWidth="1" min="9479" max="9479"/>
    <col width="10.6640625" customWidth="1" min="9480" max="9480"/>
    <col width="15.6640625" customWidth="1" min="9481" max="9485"/>
    <col width="3.6640625" customWidth="1" min="9486" max="9486"/>
    <col width="15.6640625" customWidth="1" min="9487" max="9491"/>
    <col width="11.33203125" bestFit="1" customWidth="1" min="9493" max="9493"/>
    <col width="1.6640625" customWidth="1" min="9729" max="9730"/>
    <col width="9.33203125" bestFit="1" customWidth="1" min="9732" max="9733"/>
    <col width="9.83203125" bestFit="1" customWidth="1" min="9734" max="9734"/>
    <col width="11.5" bestFit="1" customWidth="1" min="9735" max="9735"/>
    <col width="10.6640625" customWidth="1" min="9736" max="9736"/>
    <col width="15.6640625" customWidth="1" min="9737" max="9741"/>
    <col width="3.6640625" customWidth="1" min="9742" max="9742"/>
    <col width="15.6640625" customWidth="1" min="9743" max="9747"/>
    <col width="11.33203125" bestFit="1" customWidth="1" min="9749" max="9749"/>
    <col width="1.6640625" customWidth="1" min="9985" max="9986"/>
    <col width="9.33203125" bestFit="1" customWidth="1" min="9988" max="9989"/>
    <col width="9.83203125" bestFit="1" customWidth="1" min="9990" max="9990"/>
    <col width="11.5" bestFit="1" customWidth="1" min="9991" max="9991"/>
    <col width="10.6640625" customWidth="1" min="9992" max="9992"/>
    <col width="15.6640625" customWidth="1" min="9993" max="9997"/>
    <col width="3.6640625" customWidth="1" min="9998" max="9998"/>
    <col width="15.6640625" customWidth="1" min="9999" max="10003"/>
    <col width="11.33203125" bestFit="1" customWidth="1" min="10005" max="10005"/>
    <col width="1.6640625" customWidth="1" min="10241" max="10242"/>
    <col width="9.33203125" bestFit="1" customWidth="1" min="10244" max="10245"/>
    <col width="9.83203125" bestFit="1" customWidth="1" min="10246" max="10246"/>
    <col width="11.5" bestFit="1" customWidth="1" min="10247" max="10247"/>
    <col width="10.6640625" customWidth="1" min="10248" max="10248"/>
    <col width="15.6640625" customWidth="1" min="10249" max="10253"/>
    <col width="3.6640625" customWidth="1" min="10254" max="10254"/>
    <col width="15.6640625" customWidth="1" min="10255" max="10259"/>
    <col width="11.33203125" bestFit="1" customWidth="1" min="10261" max="10261"/>
    <col width="1.6640625" customWidth="1" min="10497" max="10498"/>
    <col width="9.33203125" bestFit="1" customWidth="1" min="10500" max="10501"/>
    <col width="9.83203125" bestFit="1" customWidth="1" min="10502" max="10502"/>
    <col width="11.5" bestFit="1" customWidth="1" min="10503" max="10503"/>
    <col width="10.6640625" customWidth="1" min="10504" max="10504"/>
    <col width="15.6640625" customWidth="1" min="10505" max="10509"/>
    <col width="3.6640625" customWidth="1" min="10510" max="10510"/>
    <col width="15.6640625" customWidth="1" min="10511" max="10515"/>
    <col width="11.33203125" bestFit="1" customWidth="1" min="10517" max="10517"/>
    <col width="1.6640625" customWidth="1" min="10753" max="10754"/>
    <col width="9.33203125" bestFit="1" customWidth="1" min="10756" max="10757"/>
    <col width="9.83203125" bestFit="1" customWidth="1" min="10758" max="10758"/>
    <col width="11.5" bestFit="1" customWidth="1" min="10759" max="10759"/>
    <col width="10.6640625" customWidth="1" min="10760" max="10760"/>
    <col width="15.6640625" customWidth="1" min="10761" max="10765"/>
    <col width="3.6640625" customWidth="1" min="10766" max="10766"/>
    <col width="15.6640625" customWidth="1" min="10767" max="10771"/>
    <col width="11.33203125" bestFit="1" customWidth="1" min="10773" max="10773"/>
    <col width="1.6640625" customWidth="1" min="11009" max="11010"/>
    <col width="9.33203125" bestFit="1" customWidth="1" min="11012" max="11013"/>
    <col width="9.83203125" bestFit="1" customWidth="1" min="11014" max="11014"/>
    <col width="11.5" bestFit="1" customWidth="1" min="11015" max="11015"/>
    <col width="10.6640625" customWidth="1" min="11016" max="11016"/>
    <col width="15.6640625" customWidth="1" min="11017" max="11021"/>
    <col width="3.6640625" customWidth="1" min="11022" max="11022"/>
    <col width="15.6640625" customWidth="1" min="11023" max="11027"/>
    <col width="11.33203125" bestFit="1" customWidth="1" min="11029" max="11029"/>
    <col width="1.6640625" customWidth="1" min="11265" max="11266"/>
    <col width="9.33203125" bestFit="1" customWidth="1" min="11268" max="11269"/>
    <col width="9.83203125" bestFit="1" customWidth="1" min="11270" max="11270"/>
    <col width="11.5" bestFit="1" customWidth="1" min="11271" max="11271"/>
    <col width="10.6640625" customWidth="1" min="11272" max="11272"/>
    <col width="15.6640625" customWidth="1" min="11273" max="11277"/>
    <col width="3.6640625" customWidth="1" min="11278" max="11278"/>
    <col width="15.6640625" customWidth="1" min="11279" max="11283"/>
    <col width="11.33203125" bestFit="1" customWidth="1" min="11285" max="11285"/>
    <col width="1.6640625" customWidth="1" min="11521" max="11522"/>
    <col width="9.33203125" bestFit="1" customWidth="1" min="11524" max="11525"/>
    <col width="9.83203125" bestFit="1" customWidth="1" min="11526" max="11526"/>
    <col width="11.5" bestFit="1" customWidth="1" min="11527" max="11527"/>
    <col width="10.6640625" customWidth="1" min="11528" max="11528"/>
    <col width="15.6640625" customWidth="1" min="11529" max="11533"/>
    <col width="3.6640625" customWidth="1" min="11534" max="11534"/>
    <col width="15.6640625" customWidth="1" min="11535" max="11539"/>
    <col width="11.33203125" bestFit="1" customWidth="1" min="11541" max="11541"/>
    <col width="1.6640625" customWidth="1" min="11777" max="11778"/>
    <col width="9.33203125" bestFit="1" customWidth="1" min="11780" max="11781"/>
    <col width="9.83203125" bestFit="1" customWidth="1" min="11782" max="11782"/>
    <col width="11.5" bestFit="1" customWidth="1" min="11783" max="11783"/>
    <col width="10.6640625" customWidth="1" min="11784" max="11784"/>
    <col width="15.6640625" customWidth="1" min="11785" max="11789"/>
    <col width="3.6640625" customWidth="1" min="11790" max="11790"/>
    <col width="15.6640625" customWidth="1" min="11791" max="11795"/>
    <col width="11.33203125" bestFit="1" customWidth="1" min="11797" max="11797"/>
    <col width="1.6640625" customWidth="1" min="12033" max="12034"/>
    <col width="9.33203125" bestFit="1" customWidth="1" min="12036" max="12037"/>
    <col width="9.83203125" bestFit="1" customWidth="1" min="12038" max="12038"/>
    <col width="11.5" bestFit="1" customWidth="1" min="12039" max="12039"/>
    <col width="10.6640625" customWidth="1" min="12040" max="12040"/>
    <col width="15.6640625" customWidth="1" min="12041" max="12045"/>
    <col width="3.6640625" customWidth="1" min="12046" max="12046"/>
    <col width="15.6640625" customWidth="1" min="12047" max="12051"/>
    <col width="11.33203125" bestFit="1" customWidth="1" min="12053" max="12053"/>
    <col width="1.6640625" customWidth="1" min="12289" max="12290"/>
    <col width="9.33203125" bestFit="1" customWidth="1" min="12292" max="12293"/>
    <col width="9.83203125" bestFit="1" customWidth="1" min="12294" max="12294"/>
    <col width="11.5" bestFit="1" customWidth="1" min="12295" max="12295"/>
    <col width="10.6640625" customWidth="1" min="12296" max="12296"/>
    <col width="15.6640625" customWidth="1" min="12297" max="12301"/>
    <col width="3.6640625" customWidth="1" min="12302" max="12302"/>
    <col width="15.6640625" customWidth="1" min="12303" max="12307"/>
    <col width="11.33203125" bestFit="1" customWidth="1" min="12309" max="12309"/>
    <col width="1.6640625" customWidth="1" min="12545" max="12546"/>
    <col width="9.33203125" bestFit="1" customWidth="1" min="12548" max="12549"/>
    <col width="9.83203125" bestFit="1" customWidth="1" min="12550" max="12550"/>
    <col width="11.5" bestFit="1" customWidth="1" min="12551" max="12551"/>
    <col width="10.6640625" customWidth="1" min="12552" max="12552"/>
    <col width="15.6640625" customWidth="1" min="12553" max="12557"/>
    <col width="3.6640625" customWidth="1" min="12558" max="12558"/>
    <col width="15.6640625" customWidth="1" min="12559" max="12563"/>
    <col width="11.33203125" bestFit="1" customWidth="1" min="12565" max="12565"/>
    <col width="1.6640625" customWidth="1" min="12801" max="12802"/>
    <col width="9.33203125" bestFit="1" customWidth="1" min="12804" max="12805"/>
    <col width="9.83203125" bestFit="1" customWidth="1" min="12806" max="12806"/>
    <col width="11.5" bestFit="1" customWidth="1" min="12807" max="12807"/>
    <col width="10.6640625" customWidth="1" min="12808" max="12808"/>
    <col width="15.6640625" customWidth="1" min="12809" max="12813"/>
    <col width="3.6640625" customWidth="1" min="12814" max="12814"/>
    <col width="15.6640625" customWidth="1" min="12815" max="12819"/>
    <col width="11.33203125" bestFit="1" customWidth="1" min="12821" max="12821"/>
    <col width="1.6640625" customWidth="1" min="13057" max="13058"/>
    <col width="9.33203125" bestFit="1" customWidth="1" min="13060" max="13061"/>
    <col width="9.83203125" bestFit="1" customWidth="1" min="13062" max="13062"/>
    <col width="11.5" bestFit="1" customWidth="1" min="13063" max="13063"/>
    <col width="10.6640625" customWidth="1" min="13064" max="13064"/>
    <col width="15.6640625" customWidth="1" min="13065" max="13069"/>
    <col width="3.6640625" customWidth="1" min="13070" max="13070"/>
    <col width="15.6640625" customWidth="1" min="13071" max="13075"/>
    <col width="11.33203125" bestFit="1" customWidth="1" min="13077" max="13077"/>
    <col width="1.6640625" customWidth="1" min="13313" max="13314"/>
    <col width="9.33203125" bestFit="1" customWidth="1" min="13316" max="13317"/>
    <col width="9.83203125" bestFit="1" customWidth="1" min="13318" max="13318"/>
    <col width="11.5" bestFit="1" customWidth="1" min="13319" max="13319"/>
    <col width="10.6640625" customWidth="1" min="13320" max="13320"/>
    <col width="15.6640625" customWidth="1" min="13321" max="13325"/>
    <col width="3.6640625" customWidth="1" min="13326" max="13326"/>
    <col width="15.6640625" customWidth="1" min="13327" max="13331"/>
    <col width="11.33203125" bestFit="1" customWidth="1" min="13333" max="13333"/>
    <col width="1.6640625" customWidth="1" min="13569" max="13570"/>
    <col width="9.33203125" bestFit="1" customWidth="1" min="13572" max="13573"/>
    <col width="9.83203125" bestFit="1" customWidth="1" min="13574" max="13574"/>
    <col width="11.5" bestFit="1" customWidth="1" min="13575" max="13575"/>
    <col width="10.6640625" customWidth="1" min="13576" max="13576"/>
    <col width="15.6640625" customWidth="1" min="13577" max="13581"/>
    <col width="3.6640625" customWidth="1" min="13582" max="13582"/>
    <col width="15.6640625" customWidth="1" min="13583" max="13587"/>
    <col width="11.33203125" bestFit="1" customWidth="1" min="13589" max="13589"/>
    <col width="1.6640625" customWidth="1" min="13825" max="13826"/>
    <col width="9.33203125" bestFit="1" customWidth="1" min="13828" max="13829"/>
    <col width="9.83203125" bestFit="1" customWidth="1" min="13830" max="13830"/>
    <col width="11.5" bestFit="1" customWidth="1" min="13831" max="13831"/>
    <col width="10.6640625" customWidth="1" min="13832" max="13832"/>
    <col width="15.6640625" customWidth="1" min="13833" max="13837"/>
    <col width="3.6640625" customWidth="1" min="13838" max="13838"/>
    <col width="15.6640625" customWidth="1" min="13839" max="13843"/>
    <col width="11.33203125" bestFit="1" customWidth="1" min="13845" max="13845"/>
    <col width="1.6640625" customWidth="1" min="14081" max="14082"/>
    <col width="9.33203125" bestFit="1" customWidth="1" min="14084" max="14085"/>
    <col width="9.83203125" bestFit="1" customWidth="1" min="14086" max="14086"/>
    <col width="11.5" bestFit="1" customWidth="1" min="14087" max="14087"/>
    <col width="10.6640625" customWidth="1" min="14088" max="14088"/>
    <col width="15.6640625" customWidth="1" min="14089" max="14093"/>
    <col width="3.6640625" customWidth="1" min="14094" max="14094"/>
    <col width="15.6640625" customWidth="1" min="14095" max="14099"/>
    <col width="11.33203125" bestFit="1" customWidth="1" min="14101" max="14101"/>
    <col width="1.6640625" customWidth="1" min="14337" max="14338"/>
    <col width="9.33203125" bestFit="1" customWidth="1" min="14340" max="14341"/>
    <col width="9.83203125" bestFit="1" customWidth="1" min="14342" max="14342"/>
    <col width="11.5" bestFit="1" customWidth="1" min="14343" max="14343"/>
    <col width="10.6640625" customWidth="1" min="14344" max="14344"/>
    <col width="15.6640625" customWidth="1" min="14345" max="14349"/>
    <col width="3.6640625" customWidth="1" min="14350" max="14350"/>
    <col width="15.6640625" customWidth="1" min="14351" max="14355"/>
    <col width="11.33203125" bestFit="1" customWidth="1" min="14357" max="14357"/>
    <col width="1.6640625" customWidth="1" min="14593" max="14594"/>
    <col width="9.33203125" bestFit="1" customWidth="1" min="14596" max="14597"/>
    <col width="9.83203125" bestFit="1" customWidth="1" min="14598" max="14598"/>
    <col width="11.5" bestFit="1" customWidth="1" min="14599" max="14599"/>
    <col width="10.6640625" customWidth="1" min="14600" max="14600"/>
    <col width="15.6640625" customWidth="1" min="14601" max="14605"/>
    <col width="3.6640625" customWidth="1" min="14606" max="14606"/>
    <col width="15.6640625" customWidth="1" min="14607" max="14611"/>
    <col width="11.33203125" bestFit="1" customWidth="1" min="14613" max="14613"/>
    <col width="1.6640625" customWidth="1" min="14849" max="14850"/>
    <col width="9.33203125" bestFit="1" customWidth="1" min="14852" max="14853"/>
    <col width="9.83203125" bestFit="1" customWidth="1" min="14854" max="14854"/>
    <col width="11.5" bestFit="1" customWidth="1" min="14855" max="14855"/>
    <col width="10.6640625" customWidth="1" min="14856" max="14856"/>
    <col width="15.6640625" customWidth="1" min="14857" max="14861"/>
    <col width="3.6640625" customWidth="1" min="14862" max="14862"/>
    <col width="15.6640625" customWidth="1" min="14863" max="14867"/>
    <col width="11.33203125" bestFit="1" customWidth="1" min="14869" max="14869"/>
    <col width="1.6640625" customWidth="1" min="15105" max="15106"/>
    <col width="9.33203125" bestFit="1" customWidth="1" min="15108" max="15109"/>
    <col width="9.83203125" bestFit="1" customWidth="1" min="15110" max="15110"/>
    <col width="11.5" bestFit="1" customWidth="1" min="15111" max="15111"/>
    <col width="10.6640625" customWidth="1" min="15112" max="15112"/>
    <col width="15.6640625" customWidth="1" min="15113" max="15117"/>
    <col width="3.6640625" customWidth="1" min="15118" max="15118"/>
    <col width="15.6640625" customWidth="1" min="15119" max="15123"/>
    <col width="11.33203125" bestFit="1" customWidth="1" min="15125" max="15125"/>
    <col width="1.6640625" customWidth="1" min="15361" max="15362"/>
    <col width="9.33203125" bestFit="1" customWidth="1" min="15364" max="15365"/>
    <col width="9.83203125" bestFit="1" customWidth="1" min="15366" max="15366"/>
    <col width="11.5" bestFit="1" customWidth="1" min="15367" max="15367"/>
    <col width="10.6640625" customWidth="1" min="15368" max="15368"/>
    <col width="15.6640625" customWidth="1" min="15369" max="15373"/>
    <col width="3.6640625" customWidth="1" min="15374" max="15374"/>
    <col width="15.6640625" customWidth="1" min="15375" max="15379"/>
    <col width="11.33203125" bestFit="1" customWidth="1" min="15381" max="15381"/>
    <col width="1.6640625" customWidth="1" min="15617" max="15618"/>
    <col width="9.33203125" bestFit="1" customWidth="1" min="15620" max="15621"/>
    <col width="9.83203125" bestFit="1" customWidth="1" min="15622" max="15622"/>
    <col width="11.5" bestFit="1" customWidth="1" min="15623" max="15623"/>
    <col width="10.6640625" customWidth="1" min="15624" max="15624"/>
    <col width="15.6640625" customWidth="1" min="15625" max="15629"/>
    <col width="3.6640625" customWidth="1" min="15630" max="15630"/>
    <col width="15.6640625" customWidth="1" min="15631" max="15635"/>
    <col width="11.33203125" bestFit="1" customWidth="1" min="15637" max="15637"/>
    <col width="1.6640625" customWidth="1" min="15873" max="15874"/>
    <col width="9.33203125" bestFit="1" customWidth="1" min="15876" max="15877"/>
    <col width="9.83203125" bestFit="1" customWidth="1" min="15878" max="15878"/>
    <col width="11.5" bestFit="1" customWidth="1" min="15879" max="15879"/>
    <col width="10.6640625" customWidth="1" min="15880" max="15880"/>
    <col width="15.6640625" customWidth="1" min="15881" max="15885"/>
    <col width="3.6640625" customWidth="1" min="15886" max="15886"/>
    <col width="15.6640625" customWidth="1" min="15887" max="15891"/>
    <col width="11.33203125" bestFit="1" customWidth="1" min="15893" max="15893"/>
    <col width="1.6640625" customWidth="1" min="16129" max="16130"/>
    <col width="9.33203125" bestFit="1" customWidth="1" min="16132" max="16133"/>
    <col width="9.83203125" bestFit="1" customWidth="1" min="16134" max="16134"/>
    <col width="11.5" bestFit="1" customWidth="1" min="16135" max="16135"/>
    <col width="10.6640625" customWidth="1" min="16136" max="16136"/>
    <col width="15.6640625" customWidth="1" min="16137" max="16141"/>
    <col width="3.6640625" customWidth="1" min="16142" max="16142"/>
    <col width="15.6640625" customWidth="1" min="16143" max="16147"/>
    <col width="11.33203125" bestFit="1" customWidth="1" min="16149" max="1614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2" t="inlineStr">
        <is>
          <t>Simple Discounted Cash Flow Model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0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>
      <c r="A6" s="1" t="n"/>
      <c r="B6" s="1" t="n"/>
      <c r="C6" s="41" t="inlineStr">
        <is>
          <t>DCF Analysis</t>
        </is>
      </c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3" t="n"/>
      <c r="N6" s="1" t="n"/>
      <c r="O6" s="4" t="inlineStr">
        <is>
          <t>Assumptions</t>
        </is>
      </c>
      <c r="P6" s="5" t="n"/>
      <c r="Q6" s="6" t="n"/>
    </row>
    <row r="7">
      <c r="A7" s="1" t="n"/>
      <c r="B7" s="1" t="n"/>
      <c r="C7" s="1" t="inlineStr">
        <is>
          <t>Year</t>
        </is>
      </c>
      <c r="D7" s="1" t="n"/>
      <c r="E7" s="1" t="n"/>
      <c r="F7" s="1" t="n"/>
      <c r="G7" s="1" t="n"/>
      <c r="H7" s="1" t="n"/>
      <c r="I7" s="52" t="n">
        <v>1</v>
      </c>
      <c r="J7" s="52" t="n">
        <v>2</v>
      </c>
      <c r="K7" s="52" t="n">
        <v>3</v>
      </c>
      <c r="L7" s="52" t="n">
        <v>4</v>
      </c>
      <c r="M7" s="52" t="n">
        <v>5</v>
      </c>
      <c r="N7" s="1" t="n"/>
    </row>
    <row r="8">
      <c r="A8" s="1" t="n"/>
      <c r="B8" s="1" t="n"/>
      <c r="C8" s="7" t="n"/>
      <c r="D8" s="9" t="n"/>
      <c r="E8" s="9" t="n"/>
      <c r="F8" s="9" t="n"/>
      <c r="G8" s="10" t="n"/>
      <c r="H8" s="10" t="n"/>
      <c r="I8" s="86" t="n">
        <v>2022</v>
      </c>
      <c r="J8" s="86" t="n">
        <v>2023</v>
      </c>
      <c r="K8" s="86" t="n">
        <v>2024</v>
      </c>
      <c r="L8" s="86" t="n">
        <v>2025</v>
      </c>
      <c r="M8" s="86" t="n">
        <v>2026</v>
      </c>
      <c r="N8" s="8" t="n"/>
      <c r="O8" s="8" t="inlineStr">
        <is>
          <t>Corporate Tax Rate</t>
        </is>
      </c>
      <c r="P8" s="8" t="n"/>
      <c r="Q8" s="87" t="n"/>
    </row>
    <row r="9">
      <c r="A9" s="1" t="n"/>
      <c r="B9" s="1" t="n"/>
      <c r="C9" s="8" t="inlineStr">
        <is>
          <t>Revenue</t>
        </is>
      </c>
      <c r="D9" s="8" t="n"/>
      <c r="E9" s="8" t="n"/>
      <c r="F9" s="8" t="n"/>
      <c r="G9" s="8" t="n"/>
      <c r="H9" s="8" t="n"/>
      <c r="I9" s="88">
        <f>Q13</f>
        <v/>
      </c>
      <c r="J9" s="89" t="n"/>
      <c r="K9" s="89" t="n"/>
      <c r="L9" s="89" t="n"/>
      <c r="M9" s="89" t="n"/>
      <c r="N9" s="8" t="n"/>
      <c r="O9" s="8" t="inlineStr">
        <is>
          <t>Discount Rate (WACC) (k)</t>
        </is>
      </c>
      <c r="P9" s="8" t="n"/>
      <c r="Q9" s="87" t="n"/>
    </row>
    <row r="10">
      <c r="A10" s="1" t="n"/>
      <c r="B10" s="1" t="n"/>
      <c r="C10" s="11" t="inlineStr">
        <is>
          <t>% Growth</t>
        </is>
      </c>
      <c r="D10" s="7" t="n"/>
      <c r="E10" s="7" t="n"/>
      <c r="F10" s="7" t="n"/>
      <c r="G10" s="8" t="n"/>
      <c r="H10" s="8" t="n"/>
      <c r="I10" s="90" t="n"/>
      <c r="J10" s="84">
        <f>$Q$14</f>
        <v/>
      </c>
      <c r="K10" s="84">
        <f>$Q$14</f>
        <v/>
      </c>
      <c r="L10" s="84">
        <f>$Q$14</f>
        <v/>
      </c>
      <c r="M10" s="84">
        <f>$Q$14</f>
        <v/>
      </c>
      <c r="N10" s="8" t="n"/>
      <c r="O10" s="8" t="inlineStr">
        <is>
          <t>Terminal Multiple</t>
        </is>
      </c>
      <c r="P10" s="8" t="n"/>
      <c r="Q10" s="55" t="n"/>
    </row>
    <row r="11">
      <c r="A11" s="1" t="n"/>
      <c r="B11" s="1" t="n"/>
      <c r="C11" s="8" t="n"/>
      <c r="D11" s="8" t="n"/>
      <c r="E11" s="8" t="n"/>
      <c r="F11" s="8" t="n"/>
      <c r="G11" s="8" t="n"/>
      <c r="H11" s="8" t="n"/>
      <c r="I11" s="88" t="n"/>
      <c r="J11" s="88" t="n"/>
      <c r="K11" s="88" t="n"/>
      <c r="L11" s="88" t="n"/>
      <c r="M11" s="88" t="n"/>
      <c r="N11" s="8" t="n"/>
      <c r="O11" s="8" t="n"/>
      <c r="P11" s="8" t="n"/>
      <c r="Q11" s="8" t="n"/>
    </row>
    <row r="12" ht="14" customHeight="1">
      <c r="A12" s="1" t="n"/>
      <c r="B12" s="1" t="n"/>
      <c r="C12" s="12" t="inlineStr">
        <is>
          <t>EBITDA</t>
        </is>
      </c>
      <c r="D12" s="8" t="n"/>
      <c r="E12" s="8" t="n"/>
      <c r="F12" s="8" t="n"/>
      <c r="G12" s="8" t="n"/>
      <c r="H12" s="8" t="n"/>
      <c r="I12" s="88">
        <f>Q15</f>
        <v/>
      </c>
      <c r="J12" s="89" t="n"/>
      <c r="K12" s="89" t="n"/>
      <c r="L12" s="89" t="n"/>
      <c r="M12" s="89" t="n"/>
      <c r="N12" s="8" t="n"/>
      <c r="P12" s="56" t="n"/>
      <c r="Q12" s="91" t="n">
        <v>2022</v>
      </c>
    </row>
    <row r="13" ht="14" customHeight="1">
      <c r="A13" s="1" t="n"/>
      <c r="B13" s="1" t="n"/>
      <c r="C13" s="11" t="inlineStr">
        <is>
          <t>% Margin</t>
        </is>
      </c>
      <c r="D13" s="7" t="n"/>
      <c r="E13" s="7" t="n"/>
      <c r="F13" s="7" t="n"/>
      <c r="G13" s="8" t="n"/>
      <c r="H13" s="8" t="n"/>
      <c r="I13" s="51">
        <f>Q16</f>
        <v/>
      </c>
      <c r="J13" s="61">
        <f>AVERAGE(I13,K13)</f>
        <v/>
      </c>
      <c r="K13" s="61">
        <f>AVERAGE(J13,L13)</f>
        <v/>
      </c>
      <c r="L13" s="61">
        <f>AVERAGE(K13,M13)</f>
        <v/>
      </c>
      <c r="M13" s="61" t="n">
        <v>0.42</v>
      </c>
      <c r="N13" s="8" t="n"/>
      <c r="O13" t="inlineStr">
        <is>
          <t>Revenues</t>
        </is>
      </c>
      <c r="P13" s="56" t="n"/>
      <c r="Q13" s="92" t="n"/>
    </row>
    <row r="14">
      <c r="A14" s="1" t="n"/>
      <c r="B14" s="1" t="n"/>
      <c r="C14" s="11" t="n"/>
      <c r="D14" s="7" t="n"/>
      <c r="E14" s="7" t="n"/>
      <c r="F14" s="7" t="n"/>
      <c r="G14" s="8" t="n"/>
      <c r="H14" s="8" t="n"/>
      <c r="I14" s="88" t="n"/>
      <c r="J14" s="88" t="n"/>
      <c r="K14" s="88" t="n"/>
      <c r="L14" s="88" t="n"/>
      <c r="M14" s="88" t="n"/>
      <c r="N14" s="8" t="n"/>
      <c r="O14" t="inlineStr">
        <is>
          <t>YOY Growth</t>
        </is>
      </c>
      <c r="P14" s="8" t="n"/>
      <c r="Q14" s="87" t="n"/>
    </row>
    <row r="15">
      <c r="A15" s="1" t="n"/>
      <c r="B15" s="1" t="n"/>
      <c r="C15" s="13" t="inlineStr">
        <is>
          <t>Cash Taxes Calculation</t>
        </is>
      </c>
      <c r="D15" s="7" t="n"/>
      <c r="E15" s="7" t="n"/>
      <c r="F15" s="7" t="n"/>
      <c r="G15" s="8" t="n"/>
      <c r="H15" s="8" t="n"/>
      <c r="I15" s="88" t="n"/>
      <c r="J15" s="88" t="n"/>
      <c r="K15" s="88" t="n"/>
      <c r="L15" s="88" t="n"/>
      <c r="M15" s="88" t="n"/>
      <c r="N15" s="8" t="n"/>
      <c r="O15" t="inlineStr">
        <is>
          <t xml:space="preserve">EBITDA </t>
        </is>
      </c>
      <c r="Q15" s="92" t="n"/>
    </row>
    <row r="16">
      <c r="A16" s="1" t="n"/>
      <c r="B16" s="1" t="n"/>
      <c r="C16" s="8">
        <f>+C12</f>
        <v/>
      </c>
      <c r="D16" s="8" t="n"/>
      <c r="E16" s="8" t="n"/>
      <c r="F16" s="8" t="n"/>
      <c r="G16" s="8" t="n"/>
      <c r="H16" s="8" t="n"/>
      <c r="I16" s="88">
        <f>I12</f>
        <v/>
      </c>
      <c r="J16" s="88">
        <f>J12</f>
        <v/>
      </c>
      <c r="K16" s="88">
        <f>K12</f>
        <v/>
      </c>
      <c r="L16" s="88">
        <f>L12</f>
        <v/>
      </c>
      <c r="M16" s="88">
        <f>M12</f>
        <v/>
      </c>
      <c r="N16" s="8" t="n"/>
      <c r="O16" t="inlineStr">
        <is>
          <t>% Margin (assume increasing to 42%)</t>
        </is>
      </c>
      <c r="Q16" s="93" t="n"/>
    </row>
    <row r="17" ht="14" customHeight="1">
      <c r="A17" s="1" t="n"/>
      <c r="B17" s="1" t="n"/>
      <c r="C17" s="79" t="inlineStr">
        <is>
          <t>Less: Depreciation and Amortization</t>
        </is>
      </c>
      <c r="D17" s="79" t="n"/>
      <c r="E17" s="79" t="n"/>
      <c r="F17" s="79" t="n"/>
      <c r="G17" s="79" t="n"/>
      <c r="H17" s="79" t="n"/>
      <c r="I17" s="94">
        <f>I9*Q17</f>
        <v/>
      </c>
      <c r="J17" s="94" t="n"/>
      <c r="K17" s="94" t="n"/>
      <c r="L17" s="94" t="n"/>
      <c r="M17" s="94" t="n"/>
      <c r="N17" s="8" t="n"/>
      <c r="O17" t="inlineStr">
        <is>
          <t>Depreciation/Amort % Revenue</t>
        </is>
      </c>
      <c r="P17" s="56" t="n"/>
      <c r="Q17" s="87" t="n"/>
    </row>
    <row r="18">
      <c r="A18" s="1" t="n"/>
      <c r="B18" s="1" t="n"/>
      <c r="C18" s="14" t="inlineStr">
        <is>
          <t>EBIT</t>
        </is>
      </c>
      <c r="D18" s="8" t="n"/>
      <c r="E18" s="8" t="n"/>
      <c r="F18" s="8" t="n"/>
      <c r="G18" s="8" t="n"/>
      <c r="H18" s="8" t="n"/>
      <c r="I18" s="89">
        <f>I16+I17</f>
        <v/>
      </c>
      <c r="J18" s="89">
        <f>J16+J17</f>
        <v/>
      </c>
      <c r="K18" s="89">
        <f>K16+K17</f>
        <v/>
      </c>
      <c r="L18" s="89">
        <f>L16+L17</f>
        <v/>
      </c>
      <c r="M18" s="89">
        <f>M16+M17</f>
        <v/>
      </c>
      <c r="N18" s="8" t="n"/>
      <c r="O18" t="inlineStr">
        <is>
          <t>NWC as % of Revenue</t>
        </is>
      </c>
      <c r="Q18" s="87" t="n"/>
    </row>
    <row r="19" ht="14" customHeight="1">
      <c r="A19" s="1" t="n"/>
      <c r="B19" s="1" t="n"/>
      <c r="C19" s="14" t="inlineStr">
        <is>
          <t>Cash Taxes</t>
        </is>
      </c>
      <c r="D19" s="8" t="n"/>
      <c r="E19" s="8" t="n"/>
      <c r="F19" s="95">
        <f>Q8</f>
        <v/>
      </c>
      <c r="G19" s="8" t="n"/>
      <c r="H19" s="8" t="n"/>
      <c r="I19" s="89">
        <f>I18*$F$19</f>
        <v/>
      </c>
      <c r="J19" s="89">
        <f>J18*$F$19</f>
        <v/>
      </c>
      <c r="K19" s="89">
        <f>K18*$F$19</f>
        <v/>
      </c>
      <c r="L19" s="89">
        <f>L18*$F$19</f>
        <v/>
      </c>
      <c r="M19" s="89">
        <f>M18*$F$19</f>
        <v/>
      </c>
      <c r="N19" s="8" t="n"/>
      <c r="O19" t="inlineStr">
        <is>
          <t>Capex</t>
        </is>
      </c>
      <c r="P19" s="56" t="n"/>
      <c r="Q19" s="87" t="n"/>
    </row>
    <row r="20" ht="14" customHeight="1">
      <c r="A20" s="1" t="n"/>
      <c r="B20" s="1" t="n"/>
      <c r="C20" s="8" t="n"/>
      <c r="D20" s="8" t="n"/>
      <c r="E20" s="8" t="n"/>
      <c r="F20" s="8" t="n"/>
      <c r="G20" s="8" t="n"/>
      <c r="H20" s="8" t="n"/>
      <c r="I20" s="88" t="n"/>
      <c r="J20" s="88" t="n"/>
      <c r="K20" s="88" t="n"/>
      <c r="L20" s="88" t="n"/>
      <c r="M20" s="88" t="n"/>
      <c r="N20" s="8" t="n"/>
      <c r="O20" t="inlineStr">
        <is>
          <t>Cash</t>
        </is>
      </c>
      <c r="P20" s="56" t="n"/>
      <c r="Q20" s="92" t="n"/>
    </row>
    <row r="21">
      <c r="A21" s="1" t="n"/>
      <c r="B21" s="1" t="n"/>
      <c r="C21" s="8" t="inlineStr">
        <is>
          <t>Capital Expenditures</t>
        </is>
      </c>
      <c r="D21" s="8" t="n"/>
      <c r="E21" s="8" t="n"/>
      <c r="F21" s="8" t="n"/>
      <c r="G21" s="8" t="n"/>
      <c r="H21" s="8" t="n"/>
      <c r="I21" s="96" t="n"/>
      <c r="J21" s="96" t="n"/>
      <c r="K21" s="96" t="n"/>
      <c r="L21" s="96" t="n"/>
      <c r="M21" s="96" t="n"/>
      <c r="N21" s="8" t="n"/>
      <c r="O21" t="inlineStr">
        <is>
          <t>Debt</t>
        </is>
      </c>
      <c r="Q21" s="92" t="n"/>
    </row>
    <row r="22" ht="14" customHeight="1">
      <c r="A22" s="1" t="n"/>
      <c r="B22" s="1" t="n"/>
      <c r="C22" s="8" t="n"/>
      <c r="D22" s="8" t="n"/>
      <c r="E22" s="8" t="n"/>
      <c r="F22" s="8" t="n"/>
      <c r="G22" s="8" t="n"/>
      <c r="H22" s="8" t="n"/>
      <c r="I22" s="88" t="n"/>
      <c r="J22" s="88" t="n"/>
      <c r="K22" s="88" t="n"/>
      <c r="L22" s="88" t="n"/>
      <c r="M22" s="88" t="n"/>
      <c r="N22" s="8" t="n"/>
      <c r="O22" t="inlineStr">
        <is>
          <t>Shares Outstanding</t>
        </is>
      </c>
      <c r="P22" s="56" t="n"/>
      <c r="Q22" s="60" t="n"/>
    </row>
    <row r="23">
      <c r="A23" s="1" t="n"/>
      <c r="B23" s="1" t="n"/>
      <c r="C23" s="8" t="inlineStr">
        <is>
          <t>Net Working Capital</t>
        </is>
      </c>
      <c r="D23" s="8" t="n"/>
      <c r="E23" s="8" t="n"/>
      <c r="F23" s="8" t="n"/>
      <c r="G23" s="8" t="n"/>
      <c r="H23" s="8" t="n"/>
      <c r="I23" s="88">
        <f>I9*$Q$18</f>
        <v/>
      </c>
      <c r="J23" s="89" t="n"/>
      <c r="K23" s="89" t="n"/>
      <c r="L23" s="89" t="n"/>
      <c r="M23" s="89" t="n"/>
      <c r="N23" s="8" t="n"/>
    </row>
    <row r="24">
      <c r="A24" s="1" t="n"/>
      <c r="B24" s="1" t="n"/>
      <c r="C24" s="8" t="inlineStr">
        <is>
          <t>Change in NWC</t>
        </is>
      </c>
      <c r="D24" s="8" t="n"/>
      <c r="E24" s="8" t="n"/>
      <c r="F24" s="8" t="n"/>
      <c r="G24" s="8" t="n"/>
      <c r="H24" s="8" t="n"/>
      <c r="I24" s="88" t="n"/>
      <c r="J24" s="88">
        <f>(J23-I23)</f>
        <v/>
      </c>
      <c r="K24" s="89" t="n"/>
      <c r="L24" s="89" t="n"/>
      <c r="M24" s="89" t="n"/>
      <c r="N24" s="8" t="n"/>
    </row>
    <row r="25">
      <c r="A25" s="1" t="n"/>
      <c r="B25" s="1" t="n"/>
      <c r="C25" s="8" t="n"/>
      <c r="D25" s="8" t="n"/>
      <c r="E25" s="8" t="n"/>
      <c r="F25" s="8" t="n"/>
      <c r="G25" s="8" t="n"/>
      <c r="H25" s="8" t="n"/>
      <c r="I25" s="88" t="n"/>
      <c r="J25" s="88" t="n"/>
      <c r="K25" s="88" t="n"/>
      <c r="L25" s="88" t="n"/>
      <c r="M25" s="88" t="n"/>
      <c r="N25" s="8" t="n"/>
    </row>
    <row r="26">
      <c r="A26" s="1" t="n"/>
      <c r="B26" s="1" t="n"/>
      <c r="C26" s="8">
        <f>C12</f>
        <v/>
      </c>
      <c r="D26" s="8" t="n"/>
      <c r="E26" s="8" t="n"/>
      <c r="F26" s="8" t="n"/>
      <c r="G26" s="8" t="n"/>
      <c r="H26" s="8" t="n"/>
      <c r="I26" s="88">
        <f>I16</f>
        <v/>
      </c>
      <c r="J26" s="88">
        <f>J16</f>
        <v/>
      </c>
      <c r="K26" s="88">
        <f>K16</f>
        <v/>
      </c>
      <c r="L26" s="88">
        <f>L16</f>
        <v/>
      </c>
      <c r="M26" s="88">
        <f>M16</f>
        <v/>
      </c>
      <c r="N26" s="8" t="n"/>
    </row>
    <row r="27">
      <c r="A27" s="1" t="n"/>
      <c r="B27" s="1" t="n"/>
      <c r="C27" s="8" t="inlineStr">
        <is>
          <t>Less: Cash Taxes</t>
        </is>
      </c>
      <c r="D27" s="8" t="n"/>
      <c r="E27" s="8" t="n"/>
      <c r="F27" s="8" t="n"/>
      <c r="G27" s="8" t="n"/>
      <c r="H27" s="8" t="n"/>
      <c r="I27" s="97" t="n"/>
      <c r="J27" s="97" t="n"/>
      <c r="K27" s="97" t="n"/>
      <c r="L27" s="97" t="n"/>
      <c r="M27" s="97" t="n"/>
      <c r="N27" s="8" t="n"/>
    </row>
    <row r="28">
      <c r="A28" s="1" t="n"/>
      <c r="B28" s="1" t="n"/>
      <c r="C28" s="8" t="inlineStr">
        <is>
          <t>Less: Changes in W/C</t>
        </is>
      </c>
      <c r="D28" s="8" t="n"/>
      <c r="E28" s="8" t="n"/>
      <c r="F28" s="8" t="n"/>
      <c r="G28" s="8" t="n"/>
      <c r="H28" s="8" t="n"/>
      <c r="I28" s="97" t="n"/>
      <c r="J28" s="97" t="n"/>
      <c r="K28" s="97" t="n"/>
      <c r="L28" s="97" t="n"/>
      <c r="M28" s="97" t="n"/>
      <c r="N28" s="8" t="n"/>
    </row>
    <row r="29">
      <c r="A29" s="1" t="n"/>
      <c r="B29" s="1" t="n"/>
      <c r="C29" s="8" t="inlineStr">
        <is>
          <t>Less: Capital Expenditures</t>
        </is>
      </c>
      <c r="D29" s="8" t="n"/>
      <c r="E29" s="8" t="n"/>
      <c r="F29" s="17" t="n"/>
      <c r="G29" s="8" t="n"/>
      <c r="H29" s="8" t="n"/>
      <c r="I29" s="97" t="n"/>
      <c r="J29" s="97" t="n"/>
      <c r="K29" s="97" t="n"/>
      <c r="L29" s="97" t="n"/>
      <c r="M29" s="97" t="n"/>
      <c r="N29" s="8" t="n"/>
    </row>
    <row r="30">
      <c r="A30" s="1" t="n"/>
      <c r="B30" s="1" t="n"/>
      <c r="C30" s="14" t="inlineStr">
        <is>
          <t>Total Unlevered Free Cash Flow</t>
        </is>
      </c>
      <c r="D30" s="8" t="n"/>
      <c r="E30" s="8" t="n"/>
      <c r="F30" s="8" t="n"/>
      <c r="G30" s="8" t="n"/>
      <c r="H30" s="8" t="n"/>
      <c r="I30" s="98">
        <f>I26+I27+I28+I29</f>
        <v/>
      </c>
      <c r="J30" s="99" t="n"/>
      <c r="K30" s="99" t="n"/>
      <c r="L30" s="99" t="n"/>
      <c r="M30" s="99" t="n"/>
      <c r="N30" s="8" t="n"/>
    </row>
    <row r="31">
      <c r="A31" s="1" t="n"/>
      <c r="B31" s="1" t="n"/>
      <c r="C31" s="14" t="inlineStr">
        <is>
          <t xml:space="preserve">Total Discounted Unlevered Free Cash Flow </t>
        </is>
      </c>
      <c r="D31" s="8" t="n"/>
      <c r="E31" s="8" t="n"/>
      <c r="F31" s="8" t="n"/>
      <c r="G31" s="8" t="n"/>
      <c r="H31" s="8" t="n"/>
      <c r="I31" s="100">
        <f>I30/((1+$Q$9)^(I7))</f>
        <v/>
      </c>
      <c r="J31" s="101" t="n"/>
      <c r="K31" s="101" t="n"/>
      <c r="L31" s="101" t="n"/>
      <c r="M31" s="101" t="n"/>
      <c r="N31" s="8" t="n"/>
    </row>
    <row r="32">
      <c r="A32" s="1" t="n"/>
      <c r="B32" s="1" t="n"/>
      <c r="C32" s="73" t="inlineStr">
        <is>
          <t>PV of Unlevered FCF</t>
        </is>
      </c>
      <c r="D32" s="74" t="n"/>
      <c r="E32" s="74" t="n"/>
      <c r="F32" s="74" t="n"/>
      <c r="G32" s="74" t="n"/>
      <c r="H32" s="74" t="n"/>
      <c r="I32" s="102" t="n"/>
      <c r="J32" s="102" t="n"/>
      <c r="K32" s="102" t="n"/>
      <c r="L32" s="102" t="n"/>
      <c r="M32" s="103">
        <f>SUM(I31:M31)</f>
        <v/>
      </c>
      <c r="N32" s="8" t="n"/>
    </row>
    <row r="33">
      <c r="A33" s="1" t="n"/>
      <c r="B33" s="1" t="n"/>
      <c r="C33" s="8" t="n"/>
      <c r="I33" s="104" t="n"/>
      <c r="M33" s="105" t="n"/>
      <c r="N33" s="8" t="n"/>
    </row>
    <row r="34">
      <c r="A34" s="1" t="n"/>
      <c r="B34" s="1" t="n"/>
      <c r="C34" s="8" t="n"/>
      <c r="I34" s="104" t="n"/>
      <c r="M34" s="105" t="n"/>
      <c r="N34" s="8" t="n"/>
    </row>
    <row r="35">
      <c r="A35" s="1" t="n"/>
      <c r="B35" s="1" t="n"/>
      <c r="C35" s="8" t="n"/>
      <c r="I35" s="104" t="n"/>
      <c r="M35" s="105" t="n"/>
      <c r="N35" s="8" t="n"/>
    </row>
    <row r="36">
      <c r="A36" s="1" t="n"/>
      <c r="B36" s="1" t="n"/>
      <c r="I36" s="104" t="n"/>
      <c r="N36" s="8" t="n"/>
    </row>
    <row r="37">
      <c r="A37" s="1" t="n"/>
      <c r="B37" s="1" t="n"/>
      <c r="C37" s="8" t="n"/>
      <c r="D37" s="8" t="n"/>
      <c r="E37" s="8" t="n"/>
      <c r="F37" s="8" t="n"/>
      <c r="G37" s="44" t="inlineStr">
        <is>
          <t>Implied Enterprise / Equity Valuation from DCF Analysis</t>
        </is>
      </c>
      <c r="H37" s="45" t="n"/>
      <c r="I37" s="45" t="n"/>
      <c r="J37" s="45" t="n"/>
      <c r="K37" s="45" t="n"/>
      <c r="L37" s="45" t="n"/>
      <c r="M37" s="46" t="n"/>
      <c r="N37" s="8" t="n"/>
    </row>
    <row r="38">
      <c r="A38" s="1" t="n"/>
      <c r="B38" s="1" t="n"/>
      <c r="C38" s="8" t="n"/>
      <c r="D38" s="8" t="n"/>
      <c r="E38" s="8" t="n"/>
      <c r="F38" s="8" t="n"/>
      <c r="G38" s="8" t="n"/>
      <c r="H38" s="1" t="n"/>
      <c r="I38" s="8" t="n"/>
      <c r="J38" s="8" t="n"/>
      <c r="K38" s="8" t="n"/>
      <c r="L38" s="8" t="n"/>
      <c r="M38" s="8" t="n"/>
      <c r="N38" s="8" t="n"/>
    </row>
    <row r="39">
      <c r="A39" s="1" t="n"/>
      <c r="B39" s="1" t="n"/>
      <c r="C39" s="8" t="n"/>
      <c r="D39" s="8" t="n"/>
      <c r="E39" s="8" t="n"/>
      <c r="F39" s="8" t="n"/>
      <c r="G39" s="14" t="inlineStr">
        <is>
          <t>Forward (2026E) EBITDA</t>
        </is>
      </c>
      <c r="H39" s="1" t="n"/>
      <c r="I39" s="1" t="n"/>
      <c r="J39" s="8" t="n"/>
      <c r="K39" s="8" t="n"/>
      <c r="L39" s="8" t="n"/>
      <c r="M39" s="106">
        <f>M26</f>
        <v/>
      </c>
      <c r="N39" s="8" t="n"/>
    </row>
    <row r="40">
      <c r="A40" s="1" t="n"/>
      <c r="B40" s="1" t="n"/>
      <c r="C40" s="1" t="n"/>
      <c r="D40" s="1" t="n"/>
      <c r="E40" s="1" t="n"/>
      <c r="F40" s="1" t="n"/>
      <c r="G40" s="14" t="inlineStr">
        <is>
          <t>Terminal Multiple</t>
        </is>
      </c>
      <c r="H40" s="1" t="n"/>
      <c r="I40" s="1" t="n"/>
      <c r="J40" s="8" t="n"/>
      <c r="K40" s="8" t="n"/>
      <c r="L40" s="8" t="n"/>
      <c r="M40" s="18" t="n"/>
      <c r="N40" s="8" t="n"/>
    </row>
    <row r="41">
      <c r="A41" s="1" t="n"/>
      <c r="B41" s="1" t="n"/>
      <c r="C41" s="1" t="n"/>
      <c r="D41" s="1" t="n"/>
      <c r="E41" s="1" t="n"/>
      <c r="F41" s="1" t="n"/>
      <c r="G41" s="14" t="inlineStr">
        <is>
          <t>Terminal Value</t>
        </is>
      </c>
      <c r="H41" s="1" t="n"/>
      <c r="I41" s="1" t="n"/>
      <c r="J41" s="8" t="n"/>
      <c r="K41" s="8" t="n"/>
      <c r="L41" s="8" t="n"/>
      <c r="M41" s="107">
        <f>+M39*M40</f>
        <v/>
      </c>
      <c r="N41" s="8" t="n"/>
    </row>
    <row r="42">
      <c r="A42" s="1" t="n"/>
      <c r="B42" s="1" t="n"/>
      <c r="C42" s="1" t="n"/>
      <c r="D42" s="1" t="n"/>
      <c r="E42" s="1" t="n"/>
      <c r="F42" s="1" t="n"/>
      <c r="G42" s="14" t="inlineStr">
        <is>
          <t>Present Value of Terminal Value</t>
        </is>
      </c>
      <c r="H42" s="1" t="n"/>
      <c r="I42" s="1" t="n"/>
      <c r="J42" s="8" t="n"/>
      <c r="K42" s="8" t="n"/>
      <c r="L42" s="8" t="n"/>
      <c r="N42" s="8" t="n"/>
    </row>
    <row r="43">
      <c r="A43" s="1" t="n"/>
      <c r="B43" s="1" t="n"/>
      <c r="C43" s="1" t="n"/>
      <c r="D43" s="1" t="n"/>
      <c r="E43" s="1" t="n"/>
      <c r="F43" s="1" t="n"/>
      <c r="G43" s="14" t="n"/>
      <c r="H43" s="1" t="n"/>
      <c r="I43" s="1" t="n"/>
      <c r="J43" s="8" t="n"/>
      <c r="K43" s="8" t="n"/>
      <c r="L43" s="8" t="n"/>
      <c r="N43" s="8" t="n"/>
    </row>
    <row r="44">
      <c r="A44" s="1" t="n"/>
      <c r="B44" s="1" t="n"/>
      <c r="C44" s="1" t="n"/>
      <c r="D44" s="1" t="n"/>
      <c r="E44" s="1" t="n"/>
      <c r="F44" s="1" t="n"/>
      <c r="G44" s="8" t="inlineStr">
        <is>
          <t>PV of Unlevered FCF</t>
        </is>
      </c>
      <c r="H44" s="1" t="n"/>
      <c r="I44" s="1" t="n"/>
      <c r="J44" s="8" t="n"/>
      <c r="K44" s="8" t="n"/>
      <c r="L44" s="8" t="n"/>
      <c r="M44" s="105">
        <f>M32</f>
        <v/>
      </c>
      <c r="N44" s="8" t="n"/>
    </row>
    <row r="45">
      <c r="A45" s="1" t="n"/>
      <c r="B45" s="1" t="n"/>
      <c r="C45" s="1" t="n"/>
      <c r="D45" s="1" t="n"/>
      <c r="E45" s="1" t="n"/>
      <c r="F45" s="1" t="n"/>
      <c r="G45" s="8" t="inlineStr">
        <is>
          <t>Plus: PV of Terminal Value</t>
        </is>
      </c>
      <c r="H45" s="1" t="n"/>
      <c r="I45" s="1" t="n"/>
      <c r="J45" s="8" t="n"/>
      <c r="K45" s="8" t="n"/>
      <c r="L45" s="8" t="n"/>
      <c r="M45" s="108">
        <f>M41/((1+Q9)^M7)</f>
        <v/>
      </c>
      <c r="N45" s="8" t="n"/>
    </row>
    <row r="46">
      <c r="A46" s="1" t="n"/>
      <c r="B46" s="1" t="n"/>
      <c r="C46" s="1" t="n"/>
      <c r="D46" s="1" t="n"/>
      <c r="E46" s="1" t="n"/>
      <c r="F46" s="1" t="n"/>
      <c r="G46" s="20" t="inlineStr">
        <is>
          <t>Implied TEV / Present Value</t>
        </is>
      </c>
      <c r="H46" s="21" t="n"/>
      <c r="I46" s="21" t="n"/>
      <c r="J46" s="21" t="n"/>
      <c r="K46" s="21" t="n"/>
      <c r="L46" s="21" t="n"/>
      <c r="M46" s="109">
        <f>M44+M45</f>
        <v/>
      </c>
      <c r="N46" s="8" t="n"/>
    </row>
    <row r="47">
      <c r="A47" s="1" t="n"/>
      <c r="B47" s="1" t="n"/>
      <c r="C47" s="1" t="n"/>
      <c r="D47" s="1" t="n"/>
      <c r="E47" s="1" t="n"/>
      <c r="F47" s="1" t="n"/>
      <c r="G47" s="14" t="inlineStr">
        <is>
          <t xml:space="preserve">Plus: Cash </t>
        </is>
      </c>
      <c r="H47" s="1" t="n"/>
      <c r="I47" s="1" t="n"/>
      <c r="J47" s="9" t="n"/>
      <c r="K47" s="9" t="n"/>
      <c r="L47" s="9" t="n"/>
      <c r="M47" s="108" t="n"/>
      <c r="N47" s="8" t="n"/>
    </row>
    <row r="48">
      <c r="A48" s="1" t="n"/>
      <c r="B48" s="1" t="n"/>
      <c r="C48" s="1" t="n"/>
      <c r="D48" s="1" t="n"/>
      <c r="E48" s="1" t="n"/>
      <c r="F48" s="1" t="n"/>
      <c r="G48" s="14" t="inlineStr">
        <is>
          <t xml:space="preserve">Less: Debt </t>
        </is>
      </c>
      <c r="H48" s="1" t="n"/>
      <c r="I48" s="1" t="n"/>
      <c r="J48" s="9" t="n"/>
      <c r="K48" s="9" t="n"/>
      <c r="L48" s="9" t="n"/>
      <c r="M48" s="108" t="n"/>
      <c r="N48" s="8" t="n"/>
    </row>
    <row r="49">
      <c r="A49" s="1" t="n"/>
      <c r="B49" s="1" t="n"/>
      <c r="C49" s="1" t="n"/>
      <c r="D49" s="1" t="n"/>
      <c r="E49" s="1" t="n"/>
      <c r="F49" s="1" t="n"/>
      <c r="G49" s="20" t="inlineStr">
        <is>
          <t>Implied Equity Value</t>
        </is>
      </c>
      <c r="H49" s="21" t="n"/>
      <c r="I49" s="21" t="n"/>
      <c r="J49" s="21" t="n"/>
      <c r="K49" s="21" t="n"/>
      <c r="L49" s="21" t="n"/>
      <c r="M49" s="109">
        <f>M46+M47+M48</f>
        <v/>
      </c>
      <c r="N49" s="8" t="n"/>
    </row>
    <row r="50">
      <c r="A50" s="1" t="n"/>
      <c r="B50" s="1" t="n"/>
      <c r="C50" s="8" t="n"/>
      <c r="D50" s="8" t="n"/>
      <c r="E50" s="8" t="n"/>
      <c r="F50" s="8" t="n"/>
      <c r="G50" s="8" t="inlineStr">
        <is>
          <t xml:space="preserve">Shares Outstanding </t>
        </is>
      </c>
      <c r="H50" s="8" t="n"/>
      <c r="I50" s="8" t="n"/>
      <c r="J50" s="8" t="n"/>
      <c r="K50" s="8" t="n"/>
      <c r="L50" s="8" t="n"/>
      <c r="M50" s="37" t="n"/>
      <c r="N50" s="8" t="n"/>
    </row>
    <row r="51">
      <c r="A51" s="1" t="n"/>
      <c r="B51" s="1" t="n"/>
      <c r="C51" s="8" t="n"/>
      <c r="D51" s="8" t="n"/>
      <c r="E51" s="8" t="n"/>
      <c r="F51" s="8" t="n"/>
      <c r="G51" s="20" t="inlineStr">
        <is>
          <t xml:space="preserve">Implied Share Price Valuation </t>
        </is>
      </c>
      <c r="H51" s="21" t="n"/>
      <c r="I51" s="21" t="n"/>
      <c r="J51" s="21" t="n"/>
      <c r="K51" s="21" t="n"/>
      <c r="L51" s="21" t="n"/>
      <c r="M51" s="110">
        <f>M49/M50</f>
        <v/>
      </c>
      <c r="N51" s="8" t="n"/>
    </row>
    <row r="52">
      <c r="A52" s="1" t="n"/>
      <c r="B52" s="1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1" t="n"/>
      <c r="B53" s="1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A54" s="1" t="n"/>
      <c r="B54" s="1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1" t="n"/>
      <c r="B55" s="1" t="n"/>
      <c r="C55" s="8" t="n"/>
      <c r="D55" s="8" t="n"/>
      <c r="E55" s="8" t="n"/>
      <c r="F55" s="8" t="n"/>
      <c r="G55" s="44" t="inlineStr">
        <is>
          <t>Sensitivities</t>
        </is>
      </c>
      <c r="H55" s="45" t="n"/>
      <c r="I55" s="45" t="n"/>
      <c r="J55" s="45" t="n"/>
      <c r="K55" s="45" t="n"/>
      <c r="L55" s="45" t="n"/>
      <c r="M55" s="46" t="n"/>
      <c r="N55" s="8" t="n"/>
    </row>
    <row r="56">
      <c r="A56" s="1" t="n"/>
      <c r="B56" s="1" t="n"/>
      <c r="C56" s="8" t="n"/>
      <c r="D56" s="8" t="n"/>
      <c r="E56" s="8" t="n"/>
      <c r="F56" s="8" t="n"/>
      <c r="N56" s="8" t="n"/>
    </row>
    <row r="57" ht="16" customHeight="1">
      <c r="A57" s="1" t="n"/>
      <c r="B57" s="1" t="n"/>
      <c r="C57" s="8" t="n"/>
      <c r="D57" s="8" t="n"/>
      <c r="E57" s="8" t="n"/>
      <c r="F57" s="8" t="n"/>
      <c r="G57" s="24" t="inlineStr">
        <is>
          <t>Enterprise Value ($M)</t>
        </is>
      </c>
      <c r="H57" s="24" t="n"/>
      <c r="I57" s="24" t="n"/>
      <c r="J57" s="24" t="n"/>
      <c r="K57" s="24" t="n"/>
      <c r="L57" s="24" t="n"/>
      <c r="M57" s="24" t="n"/>
      <c r="N57" s="8" t="n"/>
      <c r="O57" s="65" t="inlineStr">
        <is>
          <t>Step-ups</t>
        </is>
      </c>
      <c r="P57" s="66" t="n"/>
    </row>
    <row r="58">
      <c r="A58" s="1" t="n"/>
      <c r="B58" s="1" t="n"/>
      <c r="C58" s="8" t="n"/>
      <c r="D58" s="8" t="n"/>
      <c r="E58" s="8" t="n"/>
      <c r="F58" s="8" t="n"/>
      <c r="G58" s="9" t="n"/>
      <c r="H58" s="9" t="n"/>
      <c r="I58" s="9" t="n"/>
      <c r="J58" s="9" t="n"/>
      <c r="K58" s="9" t="n"/>
      <c r="L58" s="9" t="n"/>
      <c r="M58" s="9" t="n"/>
      <c r="N58" s="8" t="n"/>
      <c r="O58" s="67" t="n"/>
      <c r="P58" s="68" t="n"/>
    </row>
    <row r="59" ht="16" customHeight="1">
      <c r="A59" s="1" t="n"/>
      <c r="B59" s="1" t="n"/>
      <c r="C59" s="8" t="n"/>
      <c r="D59" s="8" t="n"/>
      <c r="E59" s="8" t="n"/>
      <c r="F59" s="8" t="n"/>
      <c r="G59" s="8" t="n"/>
      <c r="H59" s="8" t="n"/>
      <c r="I59" s="24" t="inlineStr">
        <is>
          <t>Terminal Multiple</t>
        </is>
      </c>
      <c r="J59" s="25" t="n"/>
      <c r="K59" s="25" t="n"/>
      <c r="L59" s="25" t="n"/>
      <c r="M59" s="25" t="n"/>
      <c r="N59" s="8" t="n"/>
      <c r="O59" s="69" t="inlineStr">
        <is>
          <t>Row</t>
        </is>
      </c>
      <c r="P59" s="71" t="n">
        <v>0.5</v>
      </c>
    </row>
    <row r="60">
      <c r="A60" s="1" t="n"/>
      <c r="B60" s="1" t="n"/>
      <c r="C60" s="8" t="n"/>
      <c r="D60" s="8" t="n"/>
      <c r="E60" s="8" t="n"/>
      <c r="F60" s="8" t="n"/>
      <c r="G60" s="8" t="n"/>
      <c r="I60" s="18" t="n">
        <v>11</v>
      </c>
      <c r="J60" s="18" t="n">
        <v>11.5</v>
      </c>
      <c r="K60" s="48" t="n">
        <v>12</v>
      </c>
      <c r="L60" s="18" t="n">
        <v>12.5</v>
      </c>
      <c r="M60" s="18" t="n">
        <v>13</v>
      </c>
      <c r="N60" s="8" t="n"/>
      <c r="O60" s="70" t="inlineStr">
        <is>
          <t>Column</t>
        </is>
      </c>
      <c r="P60" s="111" t="n">
        <v>0.005</v>
      </c>
    </row>
    <row r="61">
      <c r="A61" s="1" t="n"/>
      <c r="B61" s="1" t="n"/>
      <c r="C61" s="8" t="n"/>
      <c r="D61" s="8" t="n"/>
      <c r="E61" s="8" t="n"/>
      <c r="F61" s="8" t="n"/>
      <c r="G61" s="26" t="n"/>
      <c r="H61" s="27" t="n">
        <v>0.075</v>
      </c>
      <c r="I61" s="112" t="n"/>
      <c r="J61" s="100" t="n"/>
      <c r="K61" s="106" t="n"/>
      <c r="L61" s="100" t="n"/>
      <c r="M61" s="100" t="n"/>
      <c r="N61" s="8" t="n"/>
    </row>
    <row r="62">
      <c r="A62" s="1" t="n"/>
      <c r="B62" s="1" t="n"/>
      <c r="C62" s="8" t="n"/>
      <c r="D62" s="8" t="n"/>
      <c r="E62" s="8" t="n"/>
      <c r="F62" s="8" t="n"/>
      <c r="G62" s="26" t="n"/>
      <c r="H62" s="27" t="n">
        <v>0.08</v>
      </c>
      <c r="I62" s="113" t="n"/>
      <c r="J62" s="114" t="n"/>
      <c r="K62" s="114" t="n"/>
      <c r="L62" s="114" t="n"/>
      <c r="M62" s="114" t="n"/>
      <c r="N62" s="8" t="n"/>
    </row>
    <row r="63">
      <c r="A63" s="1" t="n"/>
      <c r="B63" s="1" t="n"/>
      <c r="C63" s="1" t="n"/>
      <c r="D63" s="1" t="n"/>
      <c r="E63" s="1" t="n"/>
      <c r="F63" s="1" t="n"/>
      <c r="G63" s="9" t="inlineStr">
        <is>
          <t>WACC</t>
        </is>
      </c>
      <c r="H63" s="50" t="n">
        <v>0.08500000000000001</v>
      </c>
      <c r="I63" s="114" t="n"/>
      <c r="J63" s="114" t="n"/>
      <c r="L63" s="114" t="n"/>
      <c r="M63" s="114" t="n"/>
      <c r="N63" s="8" t="n"/>
    </row>
    <row r="64">
      <c r="A64" s="1" t="n"/>
      <c r="B64" s="1" t="n"/>
      <c r="C64" s="1" t="n"/>
      <c r="D64" s="1" t="n"/>
      <c r="E64" s="1" t="n"/>
      <c r="F64" s="1" t="n"/>
      <c r="G64" s="26" t="n"/>
      <c r="H64" s="27" t="n">
        <v>0.09</v>
      </c>
      <c r="I64" s="113" t="n"/>
      <c r="J64" s="114" t="n"/>
      <c r="K64" s="114" t="n"/>
      <c r="L64" s="114" t="n"/>
      <c r="M64" s="114" t="n"/>
      <c r="N64" s="8" t="n"/>
    </row>
    <row r="65">
      <c r="A65" s="1" t="n"/>
      <c r="B65" s="1" t="n"/>
      <c r="C65" s="1" t="n"/>
      <c r="D65" s="1" t="n"/>
      <c r="E65" s="1" t="n"/>
      <c r="F65" s="1" t="n"/>
      <c r="G65" s="26" t="n"/>
      <c r="H65" s="27" t="n">
        <v>0.095</v>
      </c>
      <c r="I65" s="113" t="n"/>
      <c r="J65" s="114" t="n"/>
      <c r="K65" s="114" t="n"/>
      <c r="L65" s="114" t="n"/>
      <c r="M65" s="114" t="n"/>
      <c r="N65" s="8" t="n"/>
    </row>
    <row r="66">
      <c r="A66" s="1" t="n"/>
      <c r="B66" s="1" t="n"/>
      <c r="C66" s="1" t="n"/>
      <c r="D66" s="1" t="n"/>
      <c r="E66" s="1" t="n"/>
      <c r="F66" s="1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A67" s="1" t="n"/>
      <c r="B67" s="1" t="n"/>
      <c r="C67" s="1" t="n"/>
      <c r="D67" s="1" t="n"/>
      <c r="E67" s="1" t="n"/>
      <c r="F67" s="1" t="n"/>
      <c r="G67" s="8" t="n"/>
      <c r="H67" s="8" t="n"/>
      <c r="I67" s="30" t="n"/>
      <c r="J67" s="8" t="n"/>
      <c r="K67" s="8" t="n"/>
      <c r="L67" s="8" t="n"/>
      <c r="M67" s="8" t="n"/>
      <c r="N67" s="8" t="n"/>
    </row>
    <row r="68" ht="16" customHeight="1">
      <c r="A68" s="1" t="n"/>
      <c r="B68" s="1" t="n"/>
      <c r="C68" s="1" t="n"/>
      <c r="D68" s="1" t="n"/>
      <c r="E68" s="1" t="n"/>
      <c r="F68" s="1" t="n"/>
      <c r="G68" s="24" t="inlineStr">
        <is>
          <t>Implied Share Price</t>
        </is>
      </c>
      <c r="H68" s="24" t="n"/>
      <c r="I68" s="24" t="n"/>
      <c r="J68" s="24" t="n"/>
      <c r="K68" s="24" t="n"/>
      <c r="L68" s="24" t="n"/>
      <c r="M68" s="24" t="n"/>
      <c r="N68" s="8" t="n"/>
    </row>
    <row r="69">
      <c r="A69" s="1" t="n"/>
      <c r="B69" s="1" t="n"/>
      <c r="C69" s="1" t="n"/>
      <c r="D69" s="1" t="n"/>
      <c r="E69" s="1" t="n"/>
      <c r="F69" s="1" t="n"/>
      <c r="G69" s="9" t="n"/>
      <c r="H69" s="9" t="n"/>
      <c r="I69" s="9" t="n"/>
      <c r="J69" s="9" t="n"/>
      <c r="K69" s="9" t="n"/>
      <c r="L69" s="9" t="n"/>
      <c r="M69" s="9" t="n"/>
      <c r="N69" s="8" t="n"/>
    </row>
    <row r="70" ht="16" customHeight="1">
      <c r="A70" s="1" t="n"/>
      <c r="B70" s="1" t="n"/>
      <c r="C70" s="1" t="n"/>
      <c r="D70" s="1" t="n"/>
      <c r="E70" s="1" t="n"/>
      <c r="F70" s="1" t="n"/>
      <c r="G70" s="8" t="n"/>
      <c r="H70" s="8" t="n"/>
      <c r="I70" s="24" t="inlineStr">
        <is>
          <t>Terminal Multiple</t>
        </is>
      </c>
      <c r="J70" s="25" t="n"/>
      <c r="K70" s="25" t="n"/>
      <c r="L70" s="25" t="n"/>
      <c r="M70" s="25" t="n"/>
      <c r="N70" s="8" t="n"/>
    </row>
    <row r="71">
      <c r="A71" s="1" t="n"/>
      <c r="B71" s="1" t="n"/>
      <c r="C71" s="1" t="n"/>
      <c r="D71" s="1" t="n"/>
      <c r="E71" s="1" t="n"/>
      <c r="F71" s="1" t="n"/>
      <c r="G71" s="8" t="n"/>
      <c r="H71" s="115" t="n"/>
      <c r="I71" s="18" t="n">
        <v>11</v>
      </c>
      <c r="J71" s="18" t="n">
        <v>11.5</v>
      </c>
      <c r="K71" s="48" t="n">
        <v>12</v>
      </c>
      <c r="L71" s="18" t="n">
        <v>12.5</v>
      </c>
      <c r="M71" s="18" t="n">
        <v>13</v>
      </c>
      <c r="N71" s="8" t="n"/>
    </row>
    <row r="72">
      <c r="A72" s="1" t="n"/>
      <c r="B72" s="1" t="n"/>
      <c r="C72" s="1" t="n"/>
      <c r="D72" s="1" t="n"/>
      <c r="E72" s="1" t="n"/>
      <c r="F72" s="1" t="n"/>
      <c r="G72" s="26" t="n"/>
      <c r="H72" s="27" t="n">
        <v>0.075</v>
      </c>
      <c r="I72" s="116" t="n"/>
      <c r="J72" s="117" t="n"/>
      <c r="K72" s="118" t="n"/>
      <c r="L72" s="117" t="n"/>
      <c r="M72" s="117" t="n"/>
      <c r="N72" s="8" t="n"/>
    </row>
    <row r="73">
      <c r="A73" s="1" t="n"/>
      <c r="B73" s="1" t="n"/>
      <c r="C73" s="1" t="n"/>
      <c r="D73" s="1" t="n"/>
      <c r="E73" s="1" t="n"/>
      <c r="F73" s="1" t="n"/>
      <c r="G73" s="26" t="n"/>
      <c r="H73" s="27" t="n">
        <v>0.08</v>
      </c>
      <c r="I73" s="34" t="n"/>
      <c r="J73" s="35" t="n"/>
      <c r="K73" s="35" t="n"/>
      <c r="L73" s="35" t="n"/>
      <c r="M73" s="35" t="n"/>
      <c r="N73" s="8" t="n"/>
    </row>
    <row r="74">
      <c r="A74" s="1" t="n"/>
      <c r="B74" s="1" t="n"/>
      <c r="C74" s="1" t="n"/>
      <c r="D74" s="1" t="n"/>
      <c r="E74" s="1" t="n"/>
      <c r="F74" s="1" t="n"/>
      <c r="G74" s="9" t="inlineStr">
        <is>
          <t>WACC</t>
        </is>
      </c>
      <c r="H74" s="50" t="n">
        <v>0.08500000000000001</v>
      </c>
      <c r="I74" s="35" t="n"/>
      <c r="J74" s="35" t="n"/>
      <c r="L74" s="35" t="n"/>
      <c r="M74" s="35" t="n"/>
      <c r="N74" s="1" t="n"/>
    </row>
    <row r="75">
      <c r="A75" s="1" t="n"/>
      <c r="B75" s="1" t="n"/>
      <c r="C75" s="1" t="n"/>
      <c r="D75" s="1" t="n"/>
      <c r="E75" s="1" t="n"/>
      <c r="F75" s="1" t="n"/>
      <c r="G75" s="26" t="n"/>
      <c r="H75" s="27" t="n">
        <v>0.09</v>
      </c>
      <c r="I75" s="34" t="n"/>
      <c r="J75" s="35" t="n"/>
      <c r="K75" s="35" t="n"/>
      <c r="L75" s="35" t="n"/>
      <c r="M75" s="35" t="n"/>
      <c r="N75" s="1" t="n"/>
    </row>
    <row r="76">
      <c r="A76" s="1" t="n"/>
      <c r="B76" s="1" t="n"/>
      <c r="C76" s="1" t="n"/>
      <c r="D76" s="1" t="n"/>
      <c r="E76" s="1" t="n"/>
      <c r="F76" s="1" t="n"/>
      <c r="G76" s="26" t="n"/>
      <c r="H76" s="27" t="n">
        <v>0.095</v>
      </c>
      <c r="I76" s="34" t="n"/>
      <c r="J76" s="35" t="n"/>
      <c r="K76" s="35" t="n"/>
      <c r="L76" s="35" t="n"/>
      <c r="M76" s="35" t="n"/>
      <c r="N76" s="1" t="n"/>
    </row>
    <row r="77">
      <c r="A77" s="1" t="n"/>
      <c r="B77" s="1" t="n"/>
      <c r="C77" s="1" t="n"/>
      <c r="D77" s="1" t="n"/>
      <c r="E77" s="1" t="n"/>
      <c r="F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</row>
  </sheetData>
  <pageMargins left="0.75" right="0.75" top="1" bottom="1" header="0.5" footer="0.5"/>
  <pageSetup orientation="portrait" scale="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Josh</dc:creator>
  <dcterms:created xmlns:dcterms="http://purl.org/dc/terms/" xmlns:xsi="http://www.w3.org/2001/XMLSchema-instance" xsi:type="dcterms:W3CDTF">2022-04-05T14:53:05Z</dcterms:created>
  <dcterms:modified xmlns:dcterms="http://purl.org/dc/terms/" xmlns:xsi="http://www.w3.org/2001/XMLSchema-instance" xsi:type="dcterms:W3CDTF">2026-09-23T16:13:40Z</dcterms:modified>
  <cp:lastModifiedBy>Stephanie Rodgers</cp:lastModifiedBy>
</cp:coreProperties>
</file>